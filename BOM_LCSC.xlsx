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LCS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csc.com/product-detail/C45354925.html" TargetMode="External" Id="rId1" /><Relationship Type="http://schemas.openxmlformats.org/officeDocument/2006/relationships/hyperlink" Target="https://www.lcsc.com/product-detail/C41368035.html" TargetMode="External" Id="rId2" /><Relationship Type="http://schemas.openxmlformats.org/officeDocument/2006/relationships/hyperlink" Target="https://www.lcsc.com/product-detail/C28323.html" TargetMode="External" Id="rId3" /><Relationship Type="http://schemas.openxmlformats.org/officeDocument/2006/relationships/hyperlink" Target="https://www.lcsc.com/product-detail/C2903663.html" TargetMode="External" Id="rId4" /><Relationship Type="http://schemas.openxmlformats.org/officeDocument/2006/relationships/hyperlink" Target="https://www.lcsc.com/product-detail/C307331.html" TargetMode="External" Id="rId5" /><Relationship Type="http://schemas.openxmlformats.org/officeDocument/2006/relationships/hyperlink" Target="https://www.lcsc.com/product-detail/C2887023.html" TargetMode="External" Id="rId6" /><Relationship Type="http://schemas.openxmlformats.org/officeDocument/2006/relationships/hyperlink" Target="https://www.lcsc.com/product-detail/C1547.html" TargetMode="External" Id="rId7" /><Relationship Type="http://schemas.openxmlformats.org/officeDocument/2006/relationships/hyperlink" Target="https://www.lcsc.com/product-detail/C1554.html" TargetMode="External" Id="rId8" /><Relationship Type="http://schemas.openxmlformats.org/officeDocument/2006/relationships/hyperlink" Target="https://www.lcsc.com/product-detail/C36911358.html" TargetMode="External" Id="rId9" /><Relationship Type="http://schemas.openxmlformats.org/officeDocument/2006/relationships/hyperlink" Target="https://www.lcsc.com/product-detail/C597503.html" TargetMode="External" Id="rId10" /><Relationship Type="http://schemas.openxmlformats.org/officeDocument/2006/relationships/hyperlink" Target="https://www.lcsc.com/product-detail/C32346.html" TargetMode="External" Id="rId11" /><Relationship Type="http://schemas.openxmlformats.org/officeDocument/2006/relationships/hyperlink" Target="https://www.lcsc.com/product-detail/C280602.html" TargetMode="External" Id="rId12" /><Relationship Type="http://schemas.openxmlformats.org/officeDocument/2006/relationships/hyperlink" Target="https://www.lcsc.com/product-detail/C14709.html" TargetMode="External" Id="rId13" /><Relationship Type="http://schemas.openxmlformats.org/officeDocument/2006/relationships/hyperlink" Target="https://www.lcsc.com/product-detail/C668312.html" TargetMode="External" Id="rId14" /><Relationship Type="http://schemas.openxmlformats.org/officeDocument/2006/relationships/hyperlink" Target="https://www.lcsc.com/product-detail/C703141.html" TargetMode="External" Id="rId15" /><Relationship Type="http://schemas.openxmlformats.org/officeDocument/2006/relationships/hyperlink" Target="https://www.lcsc.com/product-detail/C2845237.html" TargetMode="External" Id="rId16" /><Relationship Type="http://schemas.openxmlformats.org/officeDocument/2006/relationships/hyperlink" Target="https://www.lcsc.com/product-detail/C2693497.html" TargetMode="External" Id="rId17" /><Relationship Type="http://schemas.openxmlformats.org/officeDocument/2006/relationships/hyperlink" Target="https://www.lcsc.com/product-detail/C19702.html" TargetMode="External" Id="rId18" /><Relationship Type="http://schemas.openxmlformats.org/officeDocument/2006/relationships/hyperlink" Target="https://www.lcsc.com/product-detail/C15849.html" TargetMode="External" Id="rId19" /><Relationship Type="http://schemas.openxmlformats.org/officeDocument/2006/relationships/hyperlink" Target="https://www.lcsc.com/product-detail/C59461.html" TargetMode="External" Id="rId20" /><Relationship Type="http://schemas.openxmlformats.org/officeDocument/2006/relationships/hyperlink" Target="https://www.lcsc.com/product-detail/C2939005.html" TargetMode="External" Id="rId21" /><Relationship Type="http://schemas.openxmlformats.org/officeDocument/2006/relationships/hyperlink" Target="https://www.lcsc.com/product-detail/C25503856.html" TargetMode="External" Id="rId22" /><Relationship Type="http://schemas.openxmlformats.org/officeDocument/2006/relationships/hyperlink" Target="https://www.lcsc.com/product-detail/C268096.html" TargetMode="External" Id="rId23" /><Relationship Type="http://schemas.openxmlformats.org/officeDocument/2006/relationships/hyperlink" Target="https://www.lcsc.com/product-detail/C15127.html" TargetMode="External" Id="rId24" /><Relationship Type="http://schemas.openxmlformats.org/officeDocument/2006/relationships/hyperlink" Target="https://www.lcsc.com/product-detail/C20917.html" TargetMode="External" Id="rId25" /><Relationship Type="http://schemas.openxmlformats.org/officeDocument/2006/relationships/hyperlink" Target="https://www.lcsc.com/product-detail/C478118.html" TargetMode="External" Id="rId26" /><Relationship Type="http://schemas.openxmlformats.org/officeDocument/2006/relationships/hyperlink" Target="https://www.lcsc.com/product-detail/C22859.html" TargetMode="External" Id="rId27" /><Relationship Type="http://schemas.openxmlformats.org/officeDocument/2006/relationships/hyperlink" Target="https://www.lcsc.com/product-detail/C49654665.html" TargetMode="External" Id="rId28" /><Relationship Type="http://schemas.openxmlformats.org/officeDocument/2006/relationships/hyperlink" Target="https://www.lcsc.com/product-detail/C2965580.html" TargetMode="External" Id="rId29" /><Relationship Type="http://schemas.openxmlformats.org/officeDocument/2006/relationships/hyperlink" Target="https://www.lcsc.com/product-detail/C157932.html" TargetMode="External" Id="rId30" /><Relationship Type="http://schemas.openxmlformats.org/officeDocument/2006/relationships/hyperlink" Target="https://www.lcsc.com/product-detail/C42414902.html" TargetMode="External" Id="rId31" /><Relationship Type="http://schemas.openxmlformats.org/officeDocument/2006/relationships/hyperlink" Target="https://www.lcsc.com/product-detail/C22459552.html" TargetMode="External" Id="rId32" /><Relationship Type="http://schemas.openxmlformats.org/officeDocument/2006/relationships/hyperlink" Target="https://www.lcsc.com/product-detail/C54920634.html" TargetMode="External" Id="rId33" /><Relationship Type="http://schemas.openxmlformats.org/officeDocument/2006/relationships/hyperlink" Target="https://www.lcsc.com/product-detail/C49653889.html" TargetMode="External" Id="rId34" /><Relationship Type="http://schemas.openxmlformats.org/officeDocument/2006/relationships/hyperlink" Target="https://www.lcsc.com/product-detail/C25867.html" TargetMode="External" Id="rId35" /><Relationship Type="http://schemas.openxmlformats.org/officeDocument/2006/relationships/hyperlink" Target="https://www.lcsc.com/product-detail/C25741.html" TargetMode="External" Id="rId36" /><Relationship Type="http://schemas.openxmlformats.org/officeDocument/2006/relationships/hyperlink" Target="https://www.lcsc.com/product-detail/C25744.html" TargetMode="External" Id="rId37" /><Relationship Type="http://schemas.openxmlformats.org/officeDocument/2006/relationships/hyperlink" Target="https://www.lcsc.com/product-detail/C54920620.html" TargetMode="External" Id="rId38" /><Relationship Type="http://schemas.openxmlformats.org/officeDocument/2006/relationships/hyperlink" Target="https://www.lcsc.com/product-detail/C54920625.html" TargetMode="External" Id="rId39" /><Relationship Type="http://schemas.openxmlformats.org/officeDocument/2006/relationships/hyperlink" Target="https://www.lcsc.com/product-detail/C25087.html" TargetMode="External" Id="rId40" /><Relationship Type="http://schemas.openxmlformats.org/officeDocument/2006/relationships/hyperlink" Target="https://www.lcsc.com/product-detail/C25764.html" TargetMode="External" Id="rId41" /><Relationship Type="http://schemas.openxmlformats.org/officeDocument/2006/relationships/hyperlink" Target="https://www.lcsc.com/product-detail/C25092.html" TargetMode="External" Id="rId42" /><Relationship Type="http://schemas.openxmlformats.org/officeDocument/2006/relationships/hyperlink" Target="https://www.lcsc.com/product-detail/C324768.html" TargetMode="External" Id="rId43" /><Relationship Type="http://schemas.openxmlformats.org/officeDocument/2006/relationships/hyperlink" Target="https://www.lcsc.com/product-detail/C102933.html" TargetMode="External" Id="rId44" /><Relationship Type="http://schemas.openxmlformats.org/officeDocument/2006/relationships/hyperlink" Target="https://www.lcsc.com/product-detail/C49653548.html" TargetMode="External" Id="rId45" /><Relationship Type="http://schemas.openxmlformats.org/officeDocument/2006/relationships/hyperlink" Target="https://www.lcsc.com/product-detail/C25779.html" TargetMode="External" Id="rId46" /><Relationship Type="http://schemas.openxmlformats.org/officeDocument/2006/relationships/hyperlink" Target="https://www.lcsc.com/product-detail/C25900.html" TargetMode="External" Id="rId47" /><Relationship Type="http://schemas.openxmlformats.org/officeDocument/2006/relationships/hyperlink" Target="https://www.lcsc.com/product-detail/C25792.html" TargetMode="External" Id="rId48" /><Relationship Type="http://schemas.openxmlformats.org/officeDocument/2006/relationships/hyperlink" Target="https://www.lcsc.com/product-detail/C25905.html" TargetMode="External" Id="rId49" /><Relationship Type="http://schemas.openxmlformats.org/officeDocument/2006/relationships/hyperlink" Target="https://www.lcsc.com/product-detail/C49655223.html" TargetMode="External" Id="rId50" /><Relationship Type="http://schemas.openxmlformats.org/officeDocument/2006/relationships/hyperlink" Target="https://www.lcsc.com/product-detail/C54920709.html" TargetMode="External" Id="rId51" /><Relationship Type="http://schemas.openxmlformats.org/officeDocument/2006/relationships/hyperlink" Target="https://www.lcsc.com/product-detail/C129319.html" TargetMode="External" Id="rId52" /><Relationship Type="http://schemas.openxmlformats.org/officeDocument/2006/relationships/hyperlink" Target="https://www.lcsc.com/product-detail/C2867168.html" TargetMode="External" Id="rId53" /><Relationship Type="http://schemas.openxmlformats.org/officeDocument/2006/relationships/hyperlink" Target="https://www.lcsc.com/product-detail/C165948.html" TargetMode="External" Id="rId54" /><Relationship Type="http://schemas.openxmlformats.org/officeDocument/2006/relationships/hyperlink" Target="https://www.lcsc.com/product-detail/C3035748.html" TargetMode="External" Id="rId55" /><Relationship Type="http://schemas.openxmlformats.org/officeDocument/2006/relationships/hyperlink" Target="https://www.lcsc.com/product-detail/C51928208.html" TargetMode="External" Id="rId56" /><Relationship Type="http://schemas.openxmlformats.org/officeDocument/2006/relationships/hyperlink" Target="https://www.lcsc.com/product-detail/C3010298.html" TargetMode="External" Id="rId57" /></Relationships>
</file>

<file path=xl/worksheets/sheet1.xml><?xml version="1.0" encoding="utf-8"?>
<worksheet xmlns="http://schemas.openxmlformats.org/spreadsheetml/2006/main">
  <sheetPr>
    <outlinePr summaryBelow="1" summaryRight="1"/>
    <pageSetUpPr/>
  </sheetPr>
  <dimension ref="A1:T6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10" customWidth="1" min="3" max="3"/>
    <col width="22" customWidth="1" min="4" max="4"/>
    <col width="26" customWidth="1" min="5" max="5"/>
    <col width="22" customWidth="1" min="6" max="6"/>
    <col width="11" customWidth="1" min="7" max="7"/>
    <col width="26" customWidth="1" min="8" max="8"/>
    <col width="20" customWidth="1" min="9" max="9"/>
    <col width="12" customWidth="1" min="10" max="10"/>
    <col width="9" customWidth="1" min="11" max="11"/>
    <col width="9" customWidth="1" min="12" max="12"/>
    <col width="6" customWidth="1" min="13" max="13"/>
    <col width="9" customWidth="1" min="14" max="14"/>
    <col width="9" customWidth="1" min="15" max="15"/>
    <col width="10" customWidth="1" min="16" max="16"/>
    <col width="46" customWidth="1" min="17" max="17"/>
    <col width="60" customWidth="1" min="18" max="18"/>
    <col width="34" customWidth="1" min="19" max="19"/>
    <col width="40" customWidth="1" min="20" max="20"/>
  </cols>
  <sheetData>
    <row r="1">
      <c r="A1" s="1" t="inlineStr">
        <is>
          <t>Designators</t>
        </is>
      </c>
      <c r="B1" s="1" t="inlineStr">
        <is>
          <t>Qty/board</t>
        </is>
      </c>
      <c r="C1" s="1" t="inlineStr">
        <is>
          <t>Needed (1 boards)</t>
        </is>
      </c>
      <c r="D1" s="1" t="inlineStr">
        <is>
          <t>Value</t>
        </is>
      </c>
      <c r="E1" s="1" t="inlineStr">
        <is>
          <t>Footprint</t>
        </is>
      </c>
      <c r="F1" s="1" t="inlineStr">
        <is>
          <t>Schematic part</t>
        </is>
      </c>
      <c r="G1" s="1" t="inlineStr">
        <is>
          <t>LCSC #</t>
        </is>
      </c>
      <c r="H1" s="1" t="inlineStr">
        <is>
          <t>Chosen MPN</t>
        </is>
      </c>
      <c r="I1" s="1" t="inlineStr">
        <is>
          <t>Manufacturer</t>
        </is>
      </c>
      <c r="J1" s="1" t="inlineStr">
        <is>
          <t>Package</t>
        </is>
      </c>
      <c r="K1" s="1" t="inlineStr">
        <is>
          <t>Basic/Ext</t>
        </is>
      </c>
      <c r="L1" s="1" t="inlineStr">
        <is>
          <t>Stock</t>
        </is>
      </c>
      <c r="M1" s="1" t="inlineStr">
        <is>
          <t>MOQ</t>
        </is>
      </c>
      <c r="N1" s="1" t="inlineStr">
        <is>
          <t>Order qty</t>
        </is>
      </c>
      <c r="O1" s="1" t="inlineStr">
        <is>
          <t>Unit USD</t>
        </is>
      </c>
      <c r="P1" s="1" t="inlineStr">
        <is>
          <t>Total USD</t>
        </is>
      </c>
      <c r="Q1" s="1" t="inlineStr">
        <is>
          <t>LCSC link</t>
        </is>
      </c>
      <c r="R1" s="1" t="inlineStr">
        <is>
          <t>Description</t>
        </is>
      </c>
      <c r="S1" s="1" t="inlineStr">
        <is>
          <t>Runner-up</t>
        </is>
      </c>
      <c r="T1" s="1" t="inlineStr">
        <is>
          <t>Note</t>
        </is>
      </c>
    </row>
    <row r="2">
      <c r="A2" t="inlineStr">
        <is>
          <t>U17</t>
        </is>
      </c>
      <c r="B2" t="n">
        <v>1</v>
      </c>
      <c r="C2" t="n">
        <v>1</v>
      </c>
      <c r="D2" t="inlineStr">
        <is>
          <t>aht30</t>
        </is>
      </c>
      <c r="E2" t="inlineStr">
        <is>
          <t>AHT30</t>
        </is>
      </c>
      <c r="F2" t="inlineStr">
        <is>
          <t>aht30</t>
        </is>
      </c>
      <c r="G2" t="inlineStr">
        <is>
          <t>C45354925</t>
        </is>
      </c>
      <c r="H2" t="inlineStr">
        <is>
          <t>AHT30</t>
        </is>
      </c>
      <c r="I2" t="inlineStr">
        <is>
          <t>Aosong (Guangzhou) Elec</t>
        </is>
      </c>
      <c r="J2" t="inlineStr">
        <is>
          <t>SMD-6P,3x3mm</t>
        </is>
      </c>
      <c r="K2" t="inlineStr">
        <is>
          <t>Extended</t>
        </is>
      </c>
      <c r="L2" t="n">
        <v>1132</v>
      </c>
      <c r="M2" t="n">
        <v>1</v>
      </c>
      <c r="N2" t="n">
        <v>1</v>
      </c>
      <c r="O2" t="n">
        <v>0.8873</v>
      </c>
      <c r="P2" t="n">
        <v>0.8873</v>
      </c>
      <c r="Q2" s="2" t="inlineStr">
        <is>
          <t>https://www.lcsc.com/product-detail/C45354925.html</t>
        </is>
      </c>
      <c r="R2" t="inlineStr">
        <is>
          <t xml:space="preserve">-40℃~+120℃ 0%RH~100%RH 2.2V~5.5V 570uA Factory calibration I2C ±0.5℃ ±3%RH SMD-6P,3x3mm Temperature and Humidity Sensor </t>
        </is>
      </c>
    </row>
    <row r="3">
      <c r="A3" t="inlineStr">
        <is>
          <t>U11</t>
        </is>
      </c>
      <c r="B3" t="n">
        <v>1</v>
      </c>
      <c r="C3" t="n">
        <v>1</v>
      </c>
      <c r="D3" t="inlineStr">
        <is>
          <t>ai-m62-cbs(blifn4)</t>
        </is>
      </c>
      <c r="E3" t="inlineStr">
        <is>
          <t>AI-M62-CBS</t>
        </is>
      </c>
      <c r="F3" t="inlineStr">
        <is>
          <t>ai-m62-cbs(blifn4)</t>
        </is>
      </c>
      <c r="G3" t="inlineStr">
        <is>
          <t>C41368035</t>
        </is>
      </c>
      <c r="H3" t="inlineStr">
        <is>
          <t>Ai-M62-CBS(BLIFN4)</t>
        </is>
      </c>
      <c r="I3" t="inlineStr">
        <is>
          <t>Ai-Thinker</t>
        </is>
      </c>
      <c r="J3" t="inlineStr">
        <is>
          <t>SMD,12x12mm</t>
        </is>
      </c>
      <c r="K3" t="inlineStr">
        <is>
          <t>Extended</t>
        </is>
      </c>
      <c r="L3" t="n">
        <v>211</v>
      </c>
      <c r="M3" t="n">
        <v>1</v>
      </c>
      <c r="N3" t="n">
        <v>1</v>
      </c>
      <c r="O3" t="n">
        <v>2.2026</v>
      </c>
      <c r="P3" t="n">
        <v>2.2026</v>
      </c>
      <c r="Q3" s="2" t="inlineStr">
        <is>
          <t>https://www.lcsc.com/product-detail/C41368035.html</t>
        </is>
      </c>
      <c r="R3" t="inlineStr">
        <is>
          <t>-40℃~+85℃ -98dBm 2.97V~3.6V 22dBm 394mA 59mA BL616 UART、SDIO、SPI、I2C、GPIO、PWM、I2S、USB2.0 SMD,12x12mm WiFi Modules ROHS</t>
        </is>
      </c>
      <c r="T3" t="inlineStr">
        <is>
          <t>LOW STOCK 211, no candidate with &gt;= 1000</t>
        </is>
      </c>
    </row>
    <row r="4">
      <c r="A4" t="inlineStr">
        <is>
          <t>C97 C101</t>
        </is>
      </c>
      <c r="B4" t="n">
        <v>2</v>
      </c>
      <c r="C4" t="n">
        <v>2</v>
      </c>
      <c r="D4" t="inlineStr">
        <is>
          <t>1uF 0805</t>
        </is>
      </c>
      <c r="E4" t="inlineStr">
        <is>
          <t>CAPC2013X145X50NL20T20</t>
        </is>
      </c>
      <c r="F4" t="inlineStr">
        <is>
          <t>1uF_0805</t>
        </is>
      </c>
      <c r="G4" t="inlineStr">
        <is>
          <t>C28323</t>
        </is>
      </c>
      <c r="H4" t="inlineStr">
        <is>
          <t>CL21B105KBFNNNE</t>
        </is>
      </c>
      <c r="I4" t="inlineStr">
        <is>
          <t>Samsung Electro-Mechanics</t>
        </is>
      </c>
      <c r="J4" t="inlineStr">
        <is>
          <t>0805</t>
        </is>
      </c>
      <c r="K4" t="inlineStr">
        <is>
          <t>Basic</t>
        </is>
      </c>
      <c r="L4" t="n">
        <v>3278922</v>
      </c>
      <c r="M4" t="n">
        <v>1</v>
      </c>
      <c r="N4" t="n">
        <v>2</v>
      </c>
      <c r="O4" t="n">
        <v>0.0384</v>
      </c>
      <c r="P4" t="n">
        <v>0.07679999999999999</v>
      </c>
      <c r="Q4" s="2" t="inlineStr">
        <is>
          <t>https://www.lcsc.com/product-detail/C28323.html</t>
        </is>
      </c>
      <c r="R4" t="inlineStr">
        <is>
          <t>1uF 50V X7R ±10% 0805 Multilayer Ceramic Capacitors MLCC - SMD/SMT ROHS</t>
        </is>
      </c>
      <c r="S4" t="inlineStr">
        <is>
          <t>C519973 CC0805KKX7R6BB105 0.05 USD</t>
        </is>
      </c>
      <c r="T4" t="inlineStr">
        <is>
          <t>Basic part; no voltage rating in schematic, assumed 10V</t>
        </is>
      </c>
    </row>
    <row r="5">
      <c r="A5" t="inlineStr">
        <is>
          <t>C10 C12 C13 C25 C26 C27 C28 C29 C30 C31 C37 C39 C40 C42 C43 C44 C45 C46 C47 C48 C49 C51 C52 C53 C54 C55 C56 C57 C58 C63 C65 C66 C67 C68 C69 C70 C71 C72 C73 C74 C75 C76 C77 C78 C79 C80 C81 C82 C84 C85 C93 C94 C100</t>
        </is>
      </c>
      <c r="B5" t="n">
        <v>53</v>
      </c>
      <c r="C5" t="n">
        <v>53</v>
      </c>
      <c r="D5" t="inlineStr">
        <is>
          <t>100n 0201</t>
        </is>
      </c>
      <c r="E5" t="inlineStr">
        <is>
          <t>CAP_0201</t>
        </is>
      </c>
      <c r="F5" t="inlineStr">
        <is>
          <t>100n_0201</t>
        </is>
      </c>
      <c r="G5" t="inlineStr">
        <is>
          <t>C2903663</t>
        </is>
      </c>
      <c r="H5" t="inlineStr">
        <is>
          <t>TCC0201X5R104K160ZT</t>
        </is>
      </c>
      <c r="I5" t="inlineStr">
        <is>
          <t>CCTC</t>
        </is>
      </c>
      <c r="J5" t="inlineStr">
        <is>
          <t>0201</t>
        </is>
      </c>
      <c r="K5" t="inlineStr">
        <is>
          <t>Extended</t>
        </is>
      </c>
      <c r="L5" t="n">
        <v>1657</v>
      </c>
      <c r="M5" t="n">
        <v>1</v>
      </c>
      <c r="N5" t="n">
        <v>53</v>
      </c>
      <c r="O5" t="n">
        <v>0.003</v>
      </c>
      <c r="P5" t="n">
        <v>0.159</v>
      </c>
      <c r="Q5" s="2" t="inlineStr">
        <is>
          <t>https://www.lcsc.com/product-detail/C2903663.html</t>
        </is>
      </c>
      <c r="R5" t="inlineStr">
        <is>
          <t>100nF 16V X5R ±10% 0201 Multilayer Ceramic Capacitors MLCC - SMD/SMT ROHS</t>
        </is>
      </c>
      <c r="S5" t="inlineStr">
        <is>
          <t>C2846674 0201X104K160NT 0.17 USD</t>
        </is>
      </c>
    </row>
    <row r="6">
      <c r="A6" t="inlineStr">
        <is>
          <t>C5 C6 C7 C8 C23 C24 C32 C88 C92 C95 C109 C110</t>
        </is>
      </c>
      <c r="B6" t="n">
        <v>12</v>
      </c>
      <c r="C6" t="n">
        <v>12</v>
      </c>
      <c r="D6" t="inlineStr">
        <is>
          <t>100n</t>
        </is>
      </c>
      <c r="E6" t="inlineStr">
        <is>
          <t>CAP_0402</t>
        </is>
      </c>
      <c r="F6" t="inlineStr">
        <is>
          <t>100n</t>
        </is>
      </c>
      <c r="G6" t="inlineStr">
        <is>
          <t>C307331</t>
        </is>
      </c>
      <c r="H6" t="inlineStr">
        <is>
          <t>CL05B104KB54PNC</t>
        </is>
      </c>
      <c r="I6" t="inlineStr">
        <is>
          <t>Samsung Electro-Mechanics</t>
        </is>
      </c>
      <c r="J6" t="inlineStr">
        <is>
          <t>0402</t>
        </is>
      </c>
      <c r="K6" t="inlineStr">
        <is>
          <t>Basic</t>
        </is>
      </c>
      <c r="L6" t="n">
        <v>17690101</v>
      </c>
      <c r="M6" t="n">
        <v>1</v>
      </c>
      <c r="N6" t="n">
        <v>12</v>
      </c>
      <c r="O6" t="n">
        <v>0.008500000000000001</v>
      </c>
      <c r="P6" t="n">
        <v>0.102</v>
      </c>
      <c r="Q6" s="2" t="inlineStr">
        <is>
          <t>https://www.lcsc.com/product-detail/C307331.html</t>
        </is>
      </c>
      <c r="R6" t="inlineStr">
        <is>
          <t>100nF 50V X7R ±10% 0402 Multilayer Ceramic Capacitors MLCC - SMD/SMT ROHS</t>
        </is>
      </c>
      <c r="T6" t="inlineStr">
        <is>
          <t>Basic part; LCSC-orderable substitute for C3012377 CSA0402X7R104K500GT (not sold / no stock on lcsc.com)</t>
        </is>
      </c>
    </row>
    <row r="7">
      <c r="A7" t="inlineStr">
        <is>
          <t>C21 C22</t>
        </is>
      </c>
      <c r="B7" t="n">
        <v>2</v>
      </c>
      <c r="C7" t="n">
        <v>2</v>
      </c>
      <c r="D7" t="inlineStr">
        <is>
          <t>120pf</t>
        </is>
      </c>
      <c r="E7" t="inlineStr">
        <is>
          <t>CAP_0402</t>
        </is>
      </c>
      <c r="F7" t="inlineStr">
        <is>
          <t>120pf</t>
        </is>
      </c>
      <c r="G7" t="inlineStr">
        <is>
          <t>C2887023</t>
        </is>
      </c>
      <c r="H7" t="inlineStr">
        <is>
          <t>TCC0402COG121J500AT</t>
        </is>
      </c>
      <c r="I7" t="inlineStr">
        <is>
          <t>CCTC</t>
        </is>
      </c>
      <c r="J7" t="inlineStr">
        <is>
          <t>0402</t>
        </is>
      </c>
      <c r="K7" t="inlineStr">
        <is>
          <t>Extended</t>
        </is>
      </c>
      <c r="L7" t="n">
        <v>54327</v>
      </c>
      <c r="M7" t="n">
        <v>1</v>
      </c>
      <c r="N7" t="n">
        <v>2</v>
      </c>
      <c r="O7" t="n">
        <v>0.0033</v>
      </c>
      <c r="P7" t="n">
        <v>0.0066</v>
      </c>
      <c r="Q7" s="2" t="inlineStr">
        <is>
          <t>https://www.lcsc.com/product-detail/C2887023.html</t>
        </is>
      </c>
      <c r="R7" t="inlineStr">
        <is>
          <t>120pF 50V C0G ±5% 0402 Multilayer Ceramic Capacitors MLCC - SMD/SMT ROHS</t>
        </is>
      </c>
      <c r="T7" t="inlineStr">
        <is>
          <t>LCSC-orderable substitute for C7507400 C0402C0G121K500NTB (not sold / no stock on lcsc.com)</t>
        </is>
      </c>
    </row>
    <row r="8">
      <c r="A8" t="inlineStr">
        <is>
          <t>C35 C36</t>
        </is>
      </c>
      <c r="B8" t="n">
        <v>2</v>
      </c>
      <c r="C8" t="n">
        <v>2</v>
      </c>
      <c r="D8" t="inlineStr">
        <is>
          <t>12p</t>
        </is>
      </c>
      <c r="E8" t="inlineStr">
        <is>
          <t>CAP_0402</t>
        </is>
      </c>
      <c r="F8" t="inlineStr">
        <is>
          <t>12p</t>
        </is>
      </c>
      <c r="G8" t="inlineStr">
        <is>
          <t>C1547</t>
        </is>
      </c>
      <c r="H8" t="inlineStr">
        <is>
          <t>0402CG120J500NT</t>
        </is>
      </c>
      <c r="I8" t="inlineStr">
        <is>
          <t>FH (Guangdong Fenghua Advanced Tech)</t>
        </is>
      </c>
      <c r="J8" t="inlineStr">
        <is>
          <t>0402</t>
        </is>
      </c>
      <c r="K8" t="inlineStr">
        <is>
          <t>Basic</t>
        </is>
      </c>
      <c r="L8" t="n">
        <v>1591176</v>
      </c>
      <c r="M8" t="n">
        <v>1</v>
      </c>
      <c r="N8" t="n">
        <v>2</v>
      </c>
      <c r="O8" t="n">
        <v>0.0055</v>
      </c>
      <c r="P8" t="n">
        <v>0.011</v>
      </c>
      <c r="Q8" s="2" t="inlineStr">
        <is>
          <t>https://www.lcsc.com/product-detail/C1547.html</t>
        </is>
      </c>
      <c r="R8" t="inlineStr">
        <is>
          <t>12pF 50V C0G ±5% 0402 Multilayer Ceramic Capacitors MLCC - SMD/SMT ROHS</t>
        </is>
      </c>
      <c r="S8" t="inlineStr">
        <is>
          <t>C7467122 FCC0402N120J500AT 0.01 USD</t>
        </is>
      </c>
      <c r="T8" t="inlineStr">
        <is>
          <t xml:space="preserve">Basic part; </t>
        </is>
      </c>
    </row>
    <row r="9">
      <c r="A9" t="inlineStr">
        <is>
          <t>C33 C34 C98 C111 C112</t>
        </is>
      </c>
      <c r="B9" t="n">
        <v>5</v>
      </c>
      <c r="C9" t="n">
        <v>5</v>
      </c>
      <c r="D9" t="inlineStr">
        <is>
          <t>20p</t>
        </is>
      </c>
      <c r="E9" t="inlineStr">
        <is>
          <t>CAP_0402</t>
        </is>
      </c>
      <c r="F9" t="inlineStr">
        <is>
          <t>20p</t>
        </is>
      </c>
      <c r="G9" t="inlineStr">
        <is>
          <t>C1554</t>
        </is>
      </c>
      <c r="H9" t="inlineStr">
        <is>
          <t>0402CG200J500NT</t>
        </is>
      </c>
      <c r="I9" t="inlineStr">
        <is>
          <t>FH (Guangdong Fenghua Advanced Tech)</t>
        </is>
      </c>
      <c r="J9" t="inlineStr">
        <is>
          <t>0402</t>
        </is>
      </c>
      <c r="K9" t="inlineStr">
        <is>
          <t>Basic</t>
        </is>
      </c>
      <c r="L9" t="n">
        <v>868282</v>
      </c>
      <c r="M9" t="n">
        <v>1</v>
      </c>
      <c r="N9" t="n">
        <v>5</v>
      </c>
      <c r="O9" t="n">
        <v>0.007</v>
      </c>
      <c r="P9" t="n">
        <v>0.035</v>
      </c>
      <c r="Q9" s="2" t="inlineStr">
        <is>
          <t>https://www.lcsc.com/product-detail/C1554.html</t>
        </is>
      </c>
      <c r="R9" t="inlineStr">
        <is>
          <t>20pF 50V C0G ±5% 0402 Multilayer Ceramic Capacitors MLCC - SMD/SMT ROHS</t>
        </is>
      </c>
      <c r="S9" t="inlineStr">
        <is>
          <t>C5137579 FCC0402N200J500AT 0.01 USD</t>
        </is>
      </c>
      <c r="T9" t="inlineStr">
        <is>
          <t xml:space="preserve">Basic part; </t>
        </is>
      </c>
    </row>
    <row r="10">
      <c r="A10" t="inlineStr">
        <is>
          <t>C103 C107</t>
        </is>
      </c>
      <c r="B10" t="n">
        <v>2</v>
      </c>
      <c r="C10" t="n">
        <v>2</v>
      </c>
      <c r="D10" t="inlineStr">
        <is>
          <t>220n</t>
        </is>
      </c>
      <c r="E10" t="inlineStr">
        <is>
          <t>CAP_0402</t>
        </is>
      </c>
      <c r="F10" t="inlineStr">
        <is>
          <t>220n</t>
        </is>
      </c>
      <c r="G10" t="inlineStr">
        <is>
          <t>C36911358</t>
        </is>
      </c>
      <c r="H10" t="inlineStr">
        <is>
          <t>CGA0402X5R224K500GT</t>
        </is>
      </c>
      <c r="I10" t="inlineStr">
        <is>
          <t>HRE</t>
        </is>
      </c>
      <c r="J10" t="inlineStr">
        <is>
          <t>0402</t>
        </is>
      </c>
      <c r="K10" t="inlineStr">
        <is>
          <t>Extended</t>
        </is>
      </c>
      <c r="L10" t="n">
        <v>69931</v>
      </c>
      <c r="M10" t="n">
        <v>1</v>
      </c>
      <c r="N10" t="n">
        <v>2</v>
      </c>
      <c r="O10" t="n">
        <v>0.0065</v>
      </c>
      <c r="P10" t="n">
        <v>0.013</v>
      </c>
      <c r="Q10" s="2" t="inlineStr">
        <is>
          <t>https://www.lcsc.com/product-detail/C36911358.html</t>
        </is>
      </c>
      <c r="R10" t="inlineStr">
        <is>
          <t>220nF 50V X5R ±10% 0402 Multilayer Ceramic Capacitors MLCC - SMD/SMT ROHS</t>
        </is>
      </c>
      <c r="S10" t="inlineStr">
        <is>
          <t>C5159775 GRM155R61H224KE01D 0.04 USD</t>
        </is>
      </c>
    </row>
    <row r="11">
      <c r="A11" t="inlineStr">
        <is>
          <t>J1 J2 JB1 JB2 JT</t>
        </is>
      </c>
      <c r="B11" t="n">
        <v>5</v>
      </c>
      <c r="C11" t="n">
        <v>5</v>
      </c>
      <c r="D11" t="inlineStr">
        <is>
          <t>Connector 2PIn</t>
        </is>
      </c>
      <c r="E11" t="inlineStr">
        <is>
          <t>CON_2P</t>
        </is>
      </c>
      <c r="F11" t="inlineStr">
        <is>
          <t>Connector_2PIn</t>
        </is>
      </c>
      <c r="T11" t="inlineStr">
        <is>
          <t>no purchased part (pad / test point / antenna)</t>
        </is>
      </c>
    </row>
    <row r="12">
      <c r="A12" t="inlineStr">
        <is>
          <t>C1 C104</t>
        </is>
      </c>
      <c r="B12" t="n">
        <v>2</v>
      </c>
      <c r="C12" t="n">
        <v>2</v>
      </c>
      <c r="D12" t="inlineStr">
        <is>
          <t>1uF 50V 1206</t>
        </is>
      </c>
      <c r="E12" t="inlineStr">
        <is>
          <t>FP-1206-L_3_2_0_2-W_1_6_0-IPC_B</t>
        </is>
      </c>
      <c r="F12" t="inlineStr">
        <is>
          <t>1uF_50V_1206</t>
        </is>
      </c>
      <c r="G12" t="inlineStr">
        <is>
          <t>C597503</t>
        </is>
      </c>
      <c r="H12" t="inlineStr">
        <is>
          <t>12065C105JAT2A</t>
        </is>
      </c>
      <c r="I12" t="inlineStr">
        <is>
          <t>--</t>
        </is>
      </c>
      <c r="J12" t="inlineStr">
        <is>
          <t>1206</t>
        </is>
      </c>
      <c r="K12" t="inlineStr">
        <is>
          <t>Extended</t>
        </is>
      </c>
      <c r="L12" t="n">
        <v>1960</v>
      </c>
      <c r="M12" t="n">
        <v>1</v>
      </c>
      <c r="N12" t="n">
        <v>2</v>
      </c>
      <c r="O12" t="n">
        <v>0.3727</v>
      </c>
      <c r="P12" t="n">
        <v>0.7454</v>
      </c>
      <c r="Q12" s="2" t="inlineStr">
        <is>
          <t>https://www.lcsc.com/product-detail/C597503.html</t>
        </is>
      </c>
      <c r="R12" t="inlineStr">
        <is>
          <t>1uF 50V X7R ±5% 1206 Multilayer Ceramic Capacitors MLCC - SMD/SMT ROHS</t>
        </is>
      </c>
      <c r="S12" t="inlineStr">
        <is>
          <t>C22415740 C1206C105J5RACTU 1.80 USD</t>
        </is>
      </c>
    </row>
    <row r="13">
      <c r="A13" t="inlineStr">
        <is>
          <t>Y1 Y3</t>
        </is>
      </c>
      <c r="B13" t="n">
        <v>2</v>
      </c>
      <c r="C13" t="n">
        <v>2</v>
      </c>
      <c r="D13" t="inlineStr">
        <is>
          <t>Q13FC13500004</t>
        </is>
      </c>
      <c r="E13" t="inlineStr">
        <is>
          <t>FP-ABS07-MFG</t>
        </is>
      </c>
      <c r="F13" t="inlineStr">
        <is>
          <t>ABS07-32.768KHZ-T</t>
        </is>
      </c>
      <c r="G13" t="inlineStr">
        <is>
          <t>C32346</t>
        </is>
      </c>
      <c r="H13" t="inlineStr">
        <is>
          <t>Q13FC13500004</t>
        </is>
      </c>
      <c r="I13" t="inlineStr">
        <is>
          <t>Seiko Epson</t>
        </is>
      </c>
      <c r="J13" t="inlineStr">
        <is>
          <t>SMD3215-2P</t>
        </is>
      </c>
      <c r="K13" t="inlineStr">
        <is>
          <t>Basic</t>
        </is>
      </c>
      <c r="L13" t="n">
        <v>627364</v>
      </c>
      <c r="M13" t="n">
        <v>1</v>
      </c>
      <c r="N13" t="n">
        <v>2</v>
      </c>
      <c r="O13" t="n">
        <v>0.1655</v>
      </c>
      <c r="P13" t="n">
        <v>0.331</v>
      </c>
      <c r="Q13" s="2" t="inlineStr">
        <is>
          <t>https://www.lcsc.com/product-detail/C32346.html</t>
        </is>
      </c>
      <c r="R13" t="inlineStr">
        <is>
          <t>-40℃~+85℃ 12.5pF 32.768kHz 70kΩ Crystal Oscillator ±20ppm SMD3215-2P Crystals ROHS</t>
        </is>
      </c>
      <c r="T13" t="inlineStr">
        <is>
          <t>Basic part; generic 3215 12.5pF alternative: C22386770 SXTF321532768A20F ~0.13 USD</t>
        </is>
      </c>
    </row>
    <row r="14">
      <c r="A14" t="inlineStr">
        <is>
          <t>FB4</t>
        </is>
      </c>
      <c r="B14" t="n">
        <v>1</v>
      </c>
      <c r="C14" t="n">
        <v>1</v>
      </c>
      <c r="D14" t="inlineStr">
        <is>
          <t>BLM15AG102SN1D</t>
        </is>
      </c>
      <c r="E14" t="inlineStr">
        <is>
          <t>FP-BLM15-0_05-IPC_B</t>
        </is>
      </c>
      <c r="F14" t="inlineStr">
        <is>
          <t>BLM15AG102SN1D</t>
        </is>
      </c>
      <c r="G14" t="inlineStr">
        <is>
          <t>C280602</t>
        </is>
      </c>
      <c r="H14" t="inlineStr">
        <is>
          <t>SBY100505T-102Y-N</t>
        </is>
      </c>
      <c r="I14" t="inlineStr">
        <is>
          <t>Chilisin Elec</t>
        </is>
      </c>
      <c r="J14" t="inlineStr">
        <is>
          <t>0402</t>
        </is>
      </c>
      <c r="K14" t="inlineStr">
        <is>
          <t>Extended</t>
        </is>
      </c>
      <c r="L14" t="n">
        <v>9957</v>
      </c>
      <c r="M14" t="n">
        <v>1</v>
      </c>
      <c r="N14" t="n">
        <v>1</v>
      </c>
      <c r="O14" t="n">
        <v>0.0063</v>
      </c>
      <c r="P14" t="n">
        <v>0.0063</v>
      </c>
      <c r="Q14" s="2" t="inlineStr">
        <is>
          <t>https://www.lcsc.com/product-detail/C280602.html</t>
        </is>
      </c>
      <c r="R14" t="inlineStr">
        <is>
          <t>1 1kΩ@100MHz 300mA 650mΩ ±25% 0402 Ferrite Beads ROHS</t>
        </is>
      </c>
      <c r="T14" t="inlineStr">
        <is>
          <t>LCSC-orderable substitute for C76883 BLM15AG102SN1D (not sold / no stock on lcsc.com)</t>
        </is>
      </c>
    </row>
    <row r="15">
      <c r="A15" t="inlineStr">
        <is>
          <t>FB1 FB2 FB3</t>
        </is>
      </c>
      <c r="B15" t="n">
        <v>3</v>
      </c>
      <c r="C15" t="n">
        <v>3</v>
      </c>
      <c r="D15" t="inlineStr">
        <is>
          <t>BLM18PG121SN1D</t>
        </is>
      </c>
      <c r="E15" t="inlineStr">
        <is>
          <t>FP-BLM18-0_15-t0_8-IPC_B</t>
        </is>
      </c>
      <c r="F15" t="inlineStr">
        <is>
          <t>BLM18AG121SN1D</t>
        </is>
      </c>
      <c r="G15" t="inlineStr">
        <is>
          <t>C14709</t>
        </is>
      </c>
      <c r="H15" t="inlineStr">
        <is>
          <t>BLM18PG121SN1D</t>
        </is>
      </c>
      <c r="I15" t="inlineStr">
        <is>
          <t>Murata Electronics</t>
        </is>
      </c>
      <c r="J15" t="inlineStr">
        <is>
          <t>0603</t>
        </is>
      </c>
      <c r="K15" t="inlineStr">
        <is>
          <t>Basic</t>
        </is>
      </c>
      <c r="L15" t="n">
        <v>2646830</v>
      </c>
      <c r="M15" t="n">
        <v>1</v>
      </c>
      <c r="N15" t="n">
        <v>3</v>
      </c>
      <c r="O15" t="n">
        <v>0.0151</v>
      </c>
      <c r="P15" t="n">
        <v>0.0453</v>
      </c>
      <c r="Q15" s="2" t="inlineStr">
        <is>
          <t>https://www.lcsc.com/product-detail/C14709.html</t>
        </is>
      </c>
      <c r="R15" t="inlineStr">
        <is>
          <t>-55℃~+125℃ 1 120Ω@100MHz 2A 50mΩ ±25% 0603 Ferrite Beads ROHS</t>
        </is>
      </c>
      <c r="T15" t="inlineStr">
        <is>
          <t xml:space="preserve">Basic part; </t>
        </is>
      </c>
    </row>
    <row r="16">
      <c r="A16" t="inlineStr">
        <is>
          <t>L1 L2 L3 L4 L5</t>
        </is>
      </c>
      <c r="B16" t="n">
        <v>5</v>
      </c>
      <c r="C16" t="n">
        <v>5</v>
      </c>
      <c r="D16" t="inlineStr">
        <is>
          <t>DFE201612E-R47M=P2</t>
        </is>
      </c>
      <c r="E16" t="inlineStr">
        <is>
          <t>FP-DFE201612C-IPC_C</t>
        </is>
      </c>
      <c r="F16" t="inlineStr">
        <is>
          <t>DFE201612E-R47M=P2</t>
        </is>
      </c>
      <c r="G16" t="inlineStr">
        <is>
          <t>C668312</t>
        </is>
      </c>
      <c r="H16" t="inlineStr">
        <is>
          <t>DFE201612E-R47M=P2</t>
        </is>
      </c>
      <c r="I16" t="inlineStr">
        <is>
          <t>Murata Electronics</t>
        </is>
      </c>
      <c r="J16" t="inlineStr">
        <is>
          <t>0806</t>
        </is>
      </c>
      <c r="K16" t="inlineStr">
        <is>
          <t>Extended</t>
        </is>
      </c>
      <c r="L16" t="n">
        <v>9296</v>
      </c>
      <c r="M16" t="n">
        <v>1</v>
      </c>
      <c r="N16" t="n">
        <v>5</v>
      </c>
      <c r="O16" t="n">
        <v>0.1716</v>
      </c>
      <c r="P16" t="n">
        <v>0.858</v>
      </c>
      <c r="Q16" s="2" t="inlineStr">
        <is>
          <t>https://www.lcsc.com/product-detail/C668312.html</t>
        </is>
      </c>
      <c r="R16" t="inlineStr">
        <is>
          <t>26mΩ 4.5A 470nH 5.5A ±20% 0806 Power Inductors ROHS</t>
        </is>
      </c>
    </row>
    <row r="17">
      <c r="A17" t="inlineStr">
        <is>
          <t>L6 L7</t>
        </is>
      </c>
      <c r="B17" t="n">
        <v>2</v>
      </c>
      <c r="C17" t="n">
        <v>2</v>
      </c>
      <c r="D17" t="inlineStr">
        <is>
          <t>DFE252012F-100M=P2</t>
        </is>
      </c>
      <c r="E17" t="inlineStr">
        <is>
          <t>FP-DFE252012C-IPC_B</t>
        </is>
      </c>
      <c r="F17" t="inlineStr">
        <is>
          <t>DFE252012F-100M=P2</t>
        </is>
      </c>
      <c r="G17" t="inlineStr">
        <is>
          <t>C703141</t>
        </is>
      </c>
      <c r="H17" t="inlineStr">
        <is>
          <t>DFE252012F-100M=P2</t>
        </is>
      </c>
      <c r="I17" t="inlineStr">
        <is>
          <t>Murata Electronics</t>
        </is>
      </c>
      <c r="J17" t="inlineStr">
        <is>
          <t>1008</t>
        </is>
      </c>
      <c r="K17" t="inlineStr">
        <is>
          <t>Extended</t>
        </is>
      </c>
      <c r="L17" t="n">
        <v>17882</v>
      </c>
      <c r="M17" t="n">
        <v>1</v>
      </c>
      <c r="N17" t="n">
        <v>2</v>
      </c>
      <c r="O17" t="n">
        <v>0.1541</v>
      </c>
      <c r="P17" t="n">
        <v>0.3082</v>
      </c>
      <c r="Q17" s="2" t="inlineStr">
        <is>
          <t>https://www.lcsc.com/product-detail/C703141.html</t>
        </is>
      </c>
      <c r="R17" t="inlineStr">
        <is>
          <t>1.4A 10uH 400mΩ 950mA ±20% 1008 Power Inductors ROHS</t>
        </is>
      </c>
    </row>
    <row r="18">
      <c r="A18" t="inlineStr">
        <is>
          <t>U5 U8 U10</t>
        </is>
      </c>
      <c r="B18" t="n">
        <v>3</v>
      </c>
      <c r="C18" t="n">
        <v>3</v>
      </c>
      <c r="D18" t="inlineStr">
        <is>
          <t>TPS63802DLAR</t>
        </is>
      </c>
      <c r="E18" t="inlineStr">
        <is>
          <t>FP-DLA0010A-MFG</t>
        </is>
      </c>
      <c r="F18" t="inlineStr">
        <is>
          <t>TPS63802DLAR</t>
        </is>
      </c>
      <c r="G18" t="inlineStr">
        <is>
          <t>C2845237</t>
        </is>
      </c>
      <c r="H18" t="inlineStr">
        <is>
          <t>TPS63802DLAR</t>
        </is>
      </c>
      <c r="I18" t="inlineStr">
        <is>
          <t>Texas Instruments</t>
        </is>
      </c>
      <c r="J18" t="inlineStr">
        <is>
          <t>VSON-10(2x3)</t>
        </is>
      </c>
      <c r="K18" t="inlineStr">
        <is>
          <t>Extended</t>
        </is>
      </c>
      <c r="L18" t="n">
        <v>7225</v>
      </c>
      <c r="M18" t="n">
        <v>1</v>
      </c>
      <c r="N18" t="n">
        <v>3</v>
      </c>
      <c r="O18" t="n">
        <v>0.9814000000000001</v>
      </c>
      <c r="P18" t="n">
        <v>2.9442</v>
      </c>
      <c r="Q18" s="2" t="inlineStr">
        <is>
          <t>https://www.lcsc.com/product-detail/C2845237.html</t>
        </is>
      </c>
      <c r="R18" t="inlineStr">
        <is>
          <t>-40℃~+125℃@(TJ) 1 1.3V~5.5V 1.4MHz、1.6MHz、2.1MHz 1.8V~5.2V 11uA 2A Adjustable Buck-Boost Buck-Boost Built-in Yes VSON-10</t>
        </is>
      </c>
    </row>
    <row r="19">
      <c r="A19" t="inlineStr">
        <is>
          <t>U6 U7</t>
        </is>
      </c>
      <c r="B19" t="n">
        <v>2</v>
      </c>
      <c r="C19" t="n">
        <v>2</v>
      </c>
      <c r="D19" t="inlineStr">
        <is>
          <t>TPS62823DLCR</t>
        </is>
      </c>
      <c r="E19" t="inlineStr">
        <is>
          <t>FP-DLC0008A-MFG</t>
        </is>
      </c>
      <c r="F19" t="inlineStr">
        <is>
          <t>TPS62823DLCR</t>
        </is>
      </c>
      <c r="G19" t="inlineStr">
        <is>
          <t>C2693497</t>
        </is>
      </c>
      <c r="H19" t="inlineStr">
        <is>
          <t>TPS62823DLCR</t>
        </is>
      </c>
      <c r="I19" t="inlineStr">
        <is>
          <t>Texas Instruments</t>
        </is>
      </c>
      <c r="J19" t="inlineStr">
        <is>
          <t>VSON-8(1.5x2)</t>
        </is>
      </c>
      <c r="K19" t="inlineStr">
        <is>
          <t>Extended</t>
        </is>
      </c>
      <c r="L19" t="n">
        <v>8622</v>
      </c>
      <c r="M19" t="n">
        <v>1</v>
      </c>
      <c r="N19" t="n">
        <v>2</v>
      </c>
      <c r="O19" t="n">
        <v>1.0864</v>
      </c>
      <c r="P19" t="n">
        <v>2.1728</v>
      </c>
      <c r="Q19" s="2" t="inlineStr">
        <is>
          <t>https://www.lcsc.com/product-detail/C2693497.html</t>
        </is>
      </c>
      <c r="R19" t="inlineStr">
        <is>
          <t xml:space="preserve">-40℃~+125℃@(TJ) 1 2.2MHz 2.4V~5.5V 3A 4uA 600mV~4V Adjustable Buck Built-in Overcurrent Protection、Light load efficient </t>
        </is>
      </c>
    </row>
    <row r="20">
      <c r="A20" t="inlineStr">
        <is>
          <t>C2 C3 C11 C15 C16 C19 C50 C90 C96 C99 C102 C105 C106</t>
        </is>
      </c>
      <c r="B20" t="n">
        <v>13</v>
      </c>
      <c r="C20" t="n">
        <v>13</v>
      </c>
      <c r="D20" t="inlineStr">
        <is>
          <t>10uF GRM188R61A106ME69D</t>
        </is>
      </c>
      <c r="E20" t="inlineStr">
        <is>
          <t>FP-GRM188-0_15-MFG</t>
        </is>
      </c>
      <c r="F20" t="inlineStr">
        <is>
          <t>10uF_GRM188R61A106ME69D</t>
        </is>
      </c>
      <c r="G20" t="inlineStr">
        <is>
          <t>C19702</t>
        </is>
      </c>
      <c r="H20" t="inlineStr">
        <is>
          <t>CL10A106KP8NNNC</t>
        </is>
      </c>
      <c r="I20" t="inlineStr">
        <is>
          <t>Samsung Electro-Mechanics</t>
        </is>
      </c>
      <c r="J20" t="inlineStr">
        <is>
          <t>0603</t>
        </is>
      </c>
      <c r="K20" t="inlineStr">
        <is>
          <t>Basic</t>
        </is>
      </c>
      <c r="L20" t="n">
        <v>13165696</v>
      </c>
      <c r="M20" t="n">
        <v>1</v>
      </c>
      <c r="N20" t="n">
        <v>13</v>
      </c>
      <c r="O20" t="n">
        <v>0.0308</v>
      </c>
      <c r="P20" t="n">
        <v>0.4004</v>
      </c>
      <c r="Q20" s="2" t="inlineStr">
        <is>
          <t>https://www.lcsc.com/product-detail/C19702.html</t>
        </is>
      </c>
      <c r="R20" t="inlineStr">
        <is>
          <t>10V 10uF X5R ±10% 0603 Multilayer Ceramic Capacitors MLCC - SMD/SMT ROHS</t>
        </is>
      </c>
      <c r="S20" t="inlineStr">
        <is>
          <t>C6119842 CGA0603X5R106K100JT 0.29 USD</t>
        </is>
      </c>
      <c r="T20" t="inlineStr">
        <is>
          <t xml:space="preserve">Basic part; </t>
        </is>
      </c>
    </row>
    <row r="21">
      <c r="A21" t="inlineStr">
        <is>
          <t>C86</t>
        </is>
      </c>
      <c r="B21" t="n">
        <v>1</v>
      </c>
      <c r="C21" t="n">
        <v>1</v>
      </c>
      <c r="D21" t="inlineStr">
        <is>
          <t>1uF 0603</t>
        </is>
      </c>
      <c r="E21" t="inlineStr">
        <is>
          <t>FP-GRM188-0_15-MFG</t>
        </is>
      </c>
      <c r="F21" t="inlineStr">
        <is>
          <t>1uF_0603</t>
        </is>
      </c>
      <c r="G21" t="inlineStr">
        <is>
          <t>C15849</t>
        </is>
      </c>
      <c r="H21" t="inlineStr">
        <is>
          <t>CL10A105KB8NNNC</t>
        </is>
      </c>
      <c r="I21" t="inlineStr">
        <is>
          <t>Samsung Electro-Mechanics</t>
        </is>
      </c>
      <c r="J21" t="inlineStr">
        <is>
          <t>0603</t>
        </is>
      </c>
      <c r="K21" t="inlineStr">
        <is>
          <t>Basic</t>
        </is>
      </c>
      <c r="L21" t="n">
        <v>7674757</v>
      </c>
      <c r="M21" t="n">
        <v>1</v>
      </c>
      <c r="N21" t="n">
        <v>1</v>
      </c>
      <c r="O21" t="n">
        <v>0.0165</v>
      </c>
      <c r="P21" t="n">
        <v>0.0165</v>
      </c>
      <c r="Q21" s="2" t="inlineStr">
        <is>
          <t>https://www.lcsc.com/product-detail/C15849.html</t>
        </is>
      </c>
      <c r="R21" t="inlineStr">
        <is>
          <t>1uF 50V X5R ±10% 0603 Multilayer Ceramic Capacitors MLCC - SMD/SMT ROHS</t>
        </is>
      </c>
      <c r="S21" t="inlineStr">
        <is>
          <t>C111590 0603X105K100NT 0.01 USD</t>
        </is>
      </c>
      <c r="T21" t="inlineStr">
        <is>
          <t xml:space="preserve">Basic part; </t>
        </is>
      </c>
    </row>
    <row r="22">
      <c r="A22" t="inlineStr">
        <is>
          <t>C14 C17 C18 C20 C87 C89</t>
        </is>
      </c>
      <c r="B22" t="n">
        <v>6</v>
      </c>
      <c r="C22" t="n">
        <v>6</v>
      </c>
      <c r="D22" t="inlineStr">
        <is>
          <t>22uF GRM188R60J226MEA0J</t>
        </is>
      </c>
      <c r="E22" t="inlineStr">
        <is>
          <t>FP-GRM188-0_2-IPC_C</t>
        </is>
      </c>
      <c r="F22" t="inlineStr">
        <is>
          <t>22uF_GRM188R60J226MEA0J</t>
        </is>
      </c>
      <c r="G22" t="inlineStr">
        <is>
          <t>C59461</t>
        </is>
      </c>
      <c r="H22" t="inlineStr">
        <is>
          <t>CL10A226MQ8NRNC</t>
        </is>
      </c>
      <c r="I22" t="inlineStr">
        <is>
          <t>Samsung Electro-Mechanics</t>
        </is>
      </c>
      <c r="J22" t="inlineStr">
        <is>
          <t>0603</t>
        </is>
      </c>
      <c r="K22" t="inlineStr">
        <is>
          <t>Basic</t>
        </is>
      </c>
      <c r="L22" t="n">
        <v>9805302</v>
      </c>
      <c r="M22" t="n">
        <v>1</v>
      </c>
      <c r="N22" t="n">
        <v>6</v>
      </c>
      <c r="O22" t="n">
        <v>0.03</v>
      </c>
      <c r="P22" t="n">
        <v>0.18</v>
      </c>
      <c r="Q22" s="2" t="inlineStr">
        <is>
          <t>https://www.lcsc.com/product-detail/C59461.html</t>
        </is>
      </c>
      <c r="R22" t="inlineStr">
        <is>
          <t>22uF 6.3V X5R ±20% 0603 Multilayer Ceramic Capacitors MLCC - SMD/SMT ROHS</t>
        </is>
      </c>
      <c r="S22" t="inlineStr">
        <is>
          <t>C59461 CL10A226MQ8NRNC 0.18 USD</t>
        </is>
      </c>
      <c r="T22" t="inlineStr">
        <is>
          <t xml:space="preserve">Basic part; </t>
        </is>
      </c>
    </row>
    <row r="23">
      <c r="A23" t="inlineStr">
        <is>
          <t>D2 D7 D8</t>
        </is>
      </c>
      <c r="B23" t="n">
        <v>3</v>
      </c>
      <c r="C23" t="n">
        <v>3</v>
      </c>
      <c r="D23" t="inlineStr">
        <is>
          <t>DSK24</t>
        </is>
      </c>
      <c r="E23" t="inlineStr">
        <is>
          <t>FP-S8-V-3910_01-001-MFG</t>
        </is>
      </c>
      <c r="F23" t="inlineStr">
        <is>
          <t>DSK24</t>
        </is>
      </c>
      <c r="G23" t="inlineStr">
        <is>
          <t>C2939005</t>
        </is>
      </c>
      <c r="H23" t="inlineStr">
        <is>
          <t>DSK24 K24</t>
        </is>
      </c>
      <c r="I23" t="inlineStr">
        <is>
          <t>KUU</t>
        </is>
      </c>
      <c r="J23" t="inlineStr">
        <is>
          <t>SOD-123FL</t>
        </is>
      </c>
      <c r="K23" t="inlineStr">
        <is>
          <t>Extended</t>
        </is>
      </c>
      <c r="L23" t="n">
        <v>120296</v>
      </c>
      <c r="M23" t="n">
        <v>1</v>
      </c>
      <c r="N23" t="n">
        <v>3</v>
      </c>
      <c r="O23" t="n">
        <v>0.0187</v>
      </c>
      <c r="P23" t="n">
        <v>0.0561</v>
      </c>
      <c r="Q23" s="2" t="inlineStr">
        <is>
          <t>https://www.lcsc.com/product-detail/C2939005.html</t>
        </is>
      </c>
      <c r="R23" t="inlineStr">
        <is>
          <t>2A 40A 40V 500uA@40V 550mV@2A Independent SOD-123FL Schottky Diodes ROHS</t>
        </is>
      </c>
      <c r="T23" t="inlineStr">
        <is>
          <t>LCSC-orderable substitute for C51898076 DSK24 (not sold / no stock on lcsc.com)</t>
        </is>
      </c>
    </row>
    <row r="24">
      <c r="A24" t="inlineStr">
        <is>
          <t>D1</t>
        </is>
      </c>
      <c r="B24" t="n">
        <v>1</v>
      </c>
      <c r="C24" t="n">
        <v>1</v>
      </c>
      <c r="D24" t="inlineStr">
        <is>
          <t>YLED0402B</t>
        </is>
      </c>
      <c r="E24" t="inlineStr">
        <is>
          <t>FP-SM0402GC-MFG</t>
        </is>
      </c>
      <c r="F24" t="inlineStr">
        <is>
          <t>YLED0402B</t>
        </is>
      </c>
      <c r="G24" t="inlineStr">
        <is>
          <t>C25503856</t>
        </is>
      </c>
      <c r="H24" t="inlineStr">
        <is>
          <t>XL-1005UYC</t>
        </is>
      </c>
      <c r="I24" t="inlineStr">
        <is>
          <t>XINGLIGHT</t>
        </is>
      </c>
      <c r="J24" t="inlineStr">
        <is>
          <t>0402</t>
        </is>
      </c>
      <c r="K24" t="inlineStr">
        <is>
          <t>Extended</t>
        </is>
      </c>
      <c r="L24" t="n">
        <v>87063</v>
      </c>
      <c r="M24" t="n">
        <v>1</v>
      </c>
      <c r="N24" t="n">
        <v>1</v>
      </c>
      <c r="O24" t="n">
        <v>0.0127</v>
      </c>
      <c r="P24" t="n">
        <v>0.0127</v>
      </c>
      <c r="Q24" s="2" t="inlineStr">
        <is>
          <t>https://www.lcsc.com/product-detail/C25503856.html</t>
        </is>
      </c>
      <c r="R24" t="inlineStr">
        <is>
          <t>-40℃~+85℃ 120° 1mm x 0.5mm square LED 2.4V 20mA 210mcd 50mW 585nm~595nm 590nm Discrete Diode Water Clear Yellow 0402 LED</t>
        </is>
      </c>
      <c r="T24" t="inlineStr">
        <is>
          <t>yellow 0402 LED 590nm, replaces generic YLED0402B</t>
        </is>
      </c>
    </row>
    <row r="25">
      <c r="A25" t="inlineStr">
        <is>
          <t>PR1</t>
        </is>
      </c>
      <c r="B25" t="n">
        <v>1</v>
      </c>
      <c r="C25" t="n">
        <v>1</v>
      </c>
      <c r="D25" t="inlineStr">
        <is>
          <t>SM05B-NSHSS-TB(LF)(SN)</t>
        </is>
      </c>
      <c r="E25" t="inlineStr">
        <is>
          <t>FP-SM05B-NSHSS-TB_LF_SN-MFG</t>
        </is>
      </c>
      <c r="F25" t="inlineStr">
        <is>
          <t>SM05B-NSHSS-TB(LF)(SN)</t>
        </is>
      </c>
      <c r="G25" t="inlineStr">
        <is>
          <t>C268096</t>
        </is>
      </c>
      <c r="H25" t="inlineStr">
        <is>
          <t>SM05B-NSHSS-TB(LF)(SN)</t>
        </is>
      </c>
      <c r="I25" t="inlineStr">
        <is>
          <t>JST</t>
        </is>
      </c>
      <c r="J25" t="inlineStr">
        <is>
          <t>SMD,P=1mm,Surface Mount，Right Angle</t>
        </is>
      </c>
      <c r="K25" t="inlineStr">
        <is>
          <t>Extended</t>
        </is>
      </c>
      <c r="L25" t="n">
        <v>984</v>
      </c>
      <c r="M25" t="n">
        <v>1</v>
      </c>
      <c r="N25" t="n">
        <v>1</v>
      </c>
      <c r="O25" t="n">
        <v>0.4515</v>
      </c>
      <c r="P25" t="n">
        <v>0.4515</v>
      </c>
      <c r="Q25" s="2" t="inlineStr">
        <is>
          <t>https://www.lcsc.com/product-detail/C268096.html</t>
        </is>
      </c>
      <c r="R25" t="inlineStr">
        <is>
          <t>-25℃~+85℃ 1 1A 1mm 1x5P 4.4mm 5 50V 5P 6.8mm 7mm Auxiliary Solder Pin Copper alloy NSH PA Surface Mount, Right Angle Tin</t>
        </is>
      </c>
      <c r="T25" t="inlineStr">
        <is>
          <t>LOW STOCK 984, no candidate with &gt;= 1000</t>
        </is>
      </c>
    </row>
    <row r="26">
      <c r="A26" t="inlineStr">
        <is>
          <t>Q1</t>
        </is>
      </c>
      <c r="B26" t="n">
        <v>1</v>
      </c>
      <c r="C26" t="n">
        <v>1</v>
      </c>
      <c r="D26" t="inlineStr">
        <is>
          <t>AO3401A</t>
        </is>
      </c>
      <c r="E26" t="inlineStr">
        <is>
          <t>FP-SOT23-IPC_B</t>
        </is>
      </c>
      <c r="F26" t="inlineStr">
        <is>
          <t>DMG2301LK-7</t>
        </is>
      </c>
      <c r="G26" t="inlineStr">
        <is>
          <t>C15127</t>
        </is>
      </c>
      <c r="H26" t="inlineStr">
        <is>
          <t>AO3401A</t>
        </is>
      </c>
      <c r="I26" t="inlineStr">
        <is>
          <t>Alpha &amp; Omega Semicon</t>
        </is>
      </c>
      <c r="J26" t="inlineStr">
        <is>
          <t>SOT-23</t>
        </is>
      </c>
      <c r="K26" t="inlineStr">
        <is>
          <t>Basic</t>
        </is>
      </c>
      <c r="L26" t="n">
        <v>495550</v>
      </c>
      <c r="M26" t="n">
        <v>1</v>
      </c>
      <c r="N26" t="n">
        <v>1</v>
      </c>
      <c r="O26" t="n">
        <v>0.09080000000000001</v>
      </c>
      <c r="P26" t="n">
        <v>0.09080000000000001</v>
      </c>
      <c r="Q26" s="2" t="inlineStr">
        <is>
          <t>https://www.lcsc.com/product-detail/C15127.html</t>
        </is>
      </c>
      <c r="R26" t="inlineStr">
        <is>
          <t>1 P-Channel 14nC@10V 30V 47mΩ@10V、60mΩ@4.5V、85mΩ@2.5V 4A 55pF 645pF 80pF 900mV SOT-23 MOSFETs ROHS</t>
        </is>
      </c>
      <c r="S26" t="inlineStr">
        <is>
          <t>C53199108 DMG2301L-7(ES) 0.03 USD</t>
        </is>
      </c>
      <c r="T26" t="inlineStr">
        <is>
          <t xml:space="preserve">Basic part; </t>
        </is>
      </c>
    </row>
    <row r="27">
      <c r="A27" t="inlineStr">
        <is>
          <t>Q2 Q4</t>
        </is>
      </c>
      <c r="B27" t="n">
        <v>2</v>
      </c>
      <c r="C27" t="n">
        <v>2</v>
      </c>
      <c r="D27" t="inlineStr">
        <is>
          <t>AO3400A</t>
        </is>
      </c>
      <c r="E27" t="inlineStr">
        <is>
          <t>FP-SOT23-MFG</t>
        </is>
      </c>
      <c r="F27" t="inlineStr">
        <is>
          <t>DMG2302UK-7</t>
        </is>
      </c>
      <c r="G27" t="inlineStr">
        <is>
          <t>C20917</t>
        </is>
      </c>
      <c r="H27" t="inlineStr">
        <is>
          <t>AO3400A</t>
        </is>
      </c>
      <c r="I27" t="inlineStr">
        <is>
          <t>Alpha &amp; Omega Semicon</t>
        </is>
      </c>
      <c r="J27" t="inlineStr">
        <is>
          <t>SOT-23</t>
        </is>
      </c>
      <c r="K27" t="inlineStr">
        <is>
          <t>Basic</t>
        </is>
      </c>
      <c r="L27" t="n">
        <v>821792</v>
      </c>
      <c r="M27" t="n">
        <v>1</v>
      </c>
      <c r="N27" t="n">
        <v>2</v>
      </c>
      <c r="O27" t="n">
        <v>0.0815</v>
      </c>
      <c r="P27" t="n">
        <v>0.163</v>
      </c>
      <c r="Q27" s="2" t="inlineStr">
        <is>
          <t>https://www.lcsc.com/product-detail/C20917.html</t>
        </is>
      </c>
      <c r="R27" t="inlineStr">
        <is>
          <t>-55℃~+150℃ 1 N-channel 1.45V 1.4W 30V 48mΩ@2.5V 5.7A 50pF 630pF 75pF 7nC@10V N-Channel SOT-23 MOSFETs ROHS</t>
        </is>
      </c>
      <c r="S27" t="inlineStr">
        <is>
          <t>C5224188 DMG2302UK-7-ES 0.04 USD</t>
        </is>
      </c>
      <c r="T27" t="inlineStr">
        <is>
          <t>Basic part; clone brands accepted; Diodes original is C460977</t>
        </is>
      </c>
    </row>
    <row r="28">
      <c r="A28" t="inlineStr">
        <is>
          <t>D3 D4 D5</t>
        </is>
      </c>
      <c r="B28" t="n">
        <v>3</v>
      </c>
      <c r="C28" t="n">
        <v>3</v>
      </c>
      <c r="D28" t="inlineStr">
        <is>
          <t>PRTR5V0U2F,115</t>
        </is>
      </c>
      <c r="E28" t="inlineStr">
        <is>
          <t>FP-SOT886-MFG</t>
        </is>
      </c>
      <c r="F28" t="inlineStr">
        <is>
          <t>PRTR5V0U2F,115</t>
        </is>
      </c>
      <c r="G28" t="inlineStr">
        <is>
          <t>C478118</t>
        </is>
      </c>
      <c r="H28" t="inlineStr">
        <is>
          <t>PRTR5V0U2F,115</t>
        </is>
      </c>
      <c r="I28" t="inlineStr">
        <is>
          <t>Nexperia</t>
        </is>
      </c>
      <c r="J28" t="inlineStr">
        <is>
          <t>XSON-6(1x1.5)</t>
        </is>
      </c>
      <c r="K28" t="inlineStr">
        <is>
          <t>Extended</t>
        </is>
      </c>
      <c r="L28" t="n">
        <v>60185</v>
      </c>
      <c r="M28" t="n">
        <v>1</v>
      </c>
      <c r="N28" t="n">
        <v>3</v>
      </c>
      <c r="O28" t="n">
        <v>0.103</v>
      </c>
      <c r="P28" t="n">
        <v>0.309</v>
      </c>
      <c r="Q28" s="2" t="inlineStr">
        <is>
          <t>https://www.lcsc.com/product-detail/C478118.html</t>
        </is>
      </c>
      <c r="R28" t="inlineStr">
        <is>
          <t>-40℃~+85℃ 100nA 1pF 2 5.5V 6V IEC 61000-4-2 TVS Unidirectional XSON-6(1x1.5) ESD and Surge Protection (TVS/ESD) ROHS</t>
        </is>
      </c>
      <c r="S28" t="inlineStr">
        <is>
          <t>C2937001 PRTR5V0U2F 0.55 USD</t>
        </is>
      </c>
    </row>
    <row r="29">
      <c r="A29" t="inlineStr">
        <is>
          <t>R68</t>
        </is>
      </c>
      <c r="B29" t="n">
        <v>1</v>
      </c>
      <c r="C29" t="n">
        <v>1</v>
      </c>
      <c r="D29" t="inlineStr">
        <is>
          <t>10R</t>
        </is>
      </c>
      <c r="E29" t="inlineStr">
        <is>
          <t>FP-SR0603-MFG</t>
        </is>
      </c>
      <c r="F29" t="inlineStr">
        <is>
          <t>10R</t>
        </is>
      </c>
      <c r="G29" t="inlineStr">
        <is>
          <t>C22859</t>
        </is>
      </c>
      <c r="H29" t="inlineStr">
        <is>
          <t>0603WAF100JT5E</t>
        </is>
      </c>
      <c r="I29" t="inlineStr">
        <is>
          <t>UNI-ROYAL(Uniroyal Elec)</t>
        </is>
      </c>
      <c r="J29" t="inlineStr">
        <is>
          <t>0603</t>
        </is>
      </c>
      <c r="K29" t="inlineStr">
        <is>
          <t>Basic</t>
        </is>
      </c>
      <c r="L29" t="n">
        <v>8772359</v>
      </c>
      <c r="M29" t="n">
        <v>1</v>
      </c>
      <c r="N29" t="n">
        <v>1</v>
      </c>
      <c r="O29" t="n">
        <v>0.0036</v>
      </c>
      <c r="P29" t="n">
        <v>0.0036</v>
      </c>
      <c r="Q29" s="2" t="inlineStr">
        <is>
          <t>https://www.lcsc.com/product-detail/C22859.html</t>
        </is>
      </c>
      <c r="R29" t="inlineStr">
        <is>
          <t>-55℃~+155℃ 100mW 10Ω 75V Thick Film Resistor ±1% ±400ppm/℃ 0603 Chip Resistor - Surface Mount ROHS</t>
        </is>
      </c>
      <c r="S29" t="inlineStr">
        <is>
          <t>C49652997 GR0603F10RT5G00 0.00 USD</t>
        </is>
      </c>
      <c r="T29" t="inlineStr">
        <is>
          <t xml:space="preserve">Basic part; </t>
        </is>
      </c>
    </row>
    <row r="30">
      <c r="A30" t="inlineStr">
        <is>
          <t>R66</t>
        </is>
      </c>
      <c r="B30" t="n">
        <v>1</v>
      </c>
      <c r="C30" t="n">
        <v>1</v>
      </c>
      <c r="D30" t="inlineStr">
        <is>
          <t>4R</t>
        </is>
      </c>
      <c r="E30" t="inlineStr">
        <is>
          <t>FP-SR0603-MFG</t>
        </is>
      </c>
      <c r="F30" t="inlineStr">
        <is>
          <t>4R</t>
        </is>
      </c>
      <c r="G30" t="inlineStr">
        <is>
          <t>C49654665</t>
        </is>
      </c>
      <c r="H30" t="inlineStr">
        <is>
          <t>GR0603F4R02T5G00</t>
        </is>
      </c>
      <c r="I30" t="inlineStr">
        <is>
          <t>GiantOhm</t>
        </is>
      </c>
      <c r="J30" t="inlineStr">
        <is>
          <t>0603</t>
        </is>
      </c>
      <c r="K30" t="inlineStr">
        <is>
          <t>Extended</t>
        </is>
      </c>
      <c r="L30" t="n">
        <v>1299</v>
      </c>
      <c r="M30" t="n">
        <v>1</v>
      </c>
      <c r="N30" t="n">
        <v>1</v>
      </c>
      <c r="O30" t="n">
        <v>0.0023</v>
      </c>
      <c r="P30" t="n">
        <v>0.0023</v>
      </c>
      <c r="Q30" s="2" t="inlineStr">
        <is>
          <t>https://www.lcsc.com/product-detail/C49654665.html</t>
        </is>
      </c>
      <c r="R30" t="inlineStr">
        <is>
          <t>-55℃~+155℃ 100mW 4.02Ω 75V Thick Film Resistor ±1% 0603 Chip Resistor - Surface Mount ROHS</t>
        </is>
      </c>
      <c r="S30" t="inlineStr">
        <is>
          <t>C2930151 FRC0603F4R02TS 0.00 USD</t>
        </is>
      </c>
      <c r="T30" t="inlineStr">
        <is>
          <t>4R is not an E-series value; 4.02 ohm E96 used</t>
        </is>
      </c>
    </row>
    <row r="31">
      <c r="A31" t="inlineStr">
        <is>
          <t>Y2</t>
        </is>
      </c>
      <c r="B31" t="n">
        <v>1</v>
      </c>
      <c r="C31" t="n">
        <v>1</v>
      </c>
      <c r="D31" t="inlineStr">
        <is>
          <t>XL7EL89CKI-111YLC-24M</t>
        </is>
      </c>
      <c r="E31" t="inlineStr">
        <is>
          <t>FP-XRCGB_F_N-MFG</t>
        </is>
      </c>
      <c r="F31" t="inlineStr">
        <is>
          <t>XL7EL89CKI-111YLC-24M</t>
        </is>
      </c>
      <c r="G31" t="inlineStr">
        <is>
          <t>C2965580</t>
        </is>
      </c>
      <c r="H31" t="inlineStr">
        <is>
          <t>XL7EL89CKI-111YLC-24M</t>
        </is>
      </c>
      <c r="I31" t="inlineStr">
        <is>
          <t>YXC Crystal Oscillators</t>
        </is>
      </c>
      <c r="J31" t="inlineStr">
        <is>
          <t>SMD2016-4P</t>
        </is>
      </c>
      <c r="K31" t="inlineStr">
        <is>
          <t>Extended</t>
        </is>
      </c>
      <c r="L31" t="n">
        <v>7623</v>
      </c>
      <c r="M31" t="n">
        <v>1</v>
      </c>
      <c r="N31" t="n">
        <v>1</v>
      </c>
      <c r="O31" t="n">
        <v>0.0784</v>
      </c>
      <c r="P31" t="n">
        <v>0.0784</v>
      </c>
      <c r="Q31" s="2" t="inlineStr">
        <is>
          <t>https://www.lcsc.com/product-detail/C2965580.html</t>
        </is>
      </c>
      <c r="R31" t="inlineStr">
        <is>
          <t>-40℃~+85℃ 100Ω 24MHz 8pF Crystal Oscillator ±10ppm ±20ppm SMD2016-4P Crystals ROHS</t>
        </is>
      </c>
    </row>
    <row r="32">
      <c r="A32" t="inlineStr">
        <is>
          <t>S1 S2 S3</t>
        </is>
      </c>
      <c r="B32" t="n">
        <v>3</v>
      </c>
      <c r="C32" t="n">
        <v>3</v>
      </c>
      <c r="D32" t="inlineStr">
        <is>
          <t>S2B-PH-K-S(LF)(SN)</t>
        </is>
      </c>
      <c r="E32" t="inlineStr">
        <is>
          <t>JST-S2B-PH-K-S_V</t>
        </is>
      </c>
      <c r="F32" t="inlineStr">
        <is>
          <t>S2B-PH-K-S(LF)(SN)</t>
        </is>
      </c>
      <c r="G32" t="inlineStr">
        <is>
          <t>C157932</t>
        </is>
      </c>
      <c r="H32" t="inlineStr">
        <is>
          <t>S2B-PH-K-S-GW</t>
        </is>
      </c>
      <c r="I32" t="inlineStr">
        <is>
          <t>JST</t>
        </is>
      </c>
      <c r="J32" t="inlineStr">
        <is>
          <t>Push-Pull,P=2mm</t>
        </is>
      </c>
      <c r="K32" t="inlineStr">
        <is>
          <t>Extended</t>
        </is>
      </c>
      <c r="L32" t="n">
        <v>15992</v>
      </c>
      <c r="M32" t="n">
        <v>1</v>
      </c>
      <c r="N32" t="n">
        <v>3</v>
      </c>
      <c r="O32" t="n">
        <v>0.2126</v>
      </c>
      <c r="P32" t="n">
        <v>0.6378</v>
      </c>
      <c r="Q32" s="2" t="inlineStr">
        <is>
          <t>https://www.lcsc.com/product-detail/C157932.html</t>
        </is>
      </c>
      <c r="R32" t="inlineStr">
        <is>
          <t>-25℃~+85℃ 1 100V 1x2P 2 2A 2P 2mm 4.8mm 5.9mm 7.6mm Brass K Pin PA66 PH Right Angle Tin UL94V-0 White 弯插,P=2mm Wire To B</t>
        </is>
      </c>
      <c r="T32" t="inlineStr">
        <is>
          <t>LCSC-orderable substitute for C173752 S2B-PH-K-S(LF)(SN) (not sold / no stock on lcsc.com)</t>
        </is>
      </c>
    </row>
    <row r="33">
      <c r="A33" t="inlineStr">
        <is>
          <t>U3</t>
        </is>
      </c>
      <c r="B33" t="n">
        <v>1</v>
      </c>
      <c r="C33" t="n">
        <v>1</v>
      </c>
      <c r="D33" t="inlineStr">
        <is>
          <t>k230d</t>
        </is>
      </c>
      <c r="E33" t="inlineStr">
        <is>
          <t>K230D</t>
        </is>
      </c>
      <c r="F33" t="inlineStr">
        <is>
          <t>k230d</t>
        </is>
      </c>
      <c r="G33" t="inlineStr">
        <is>
          <t>C42414902</t>
        </is>
      </c>
      <c r="H33" t="inlineStr">
        <is>
          <t>K230D</t>
        </is>
      </c>
      <c r="I33" t="inlineStr">
        <is>
          <t>Canaan</t>
        </is>
      </c>
      <c r="J33" t="inlineStr">
        <is>
          <t>BGA-256</t>
        </is>
      </c>
      <c r="K33" t="inlineStr">
        <is>
          <t>Extended</t>
        </is>
      </c>
      <c r="L33" t="n">
        <v>361</v>
      </c>
      <c r="M33" t="n">
        <v>1</v>
      </c>
      <c r="N33" t="n">
        <v>1</v>
      </c>
      <c r="O33" t="n">
        <v>13.3061</v>
      </c>
      <c r="P33" t="n">
        <v>13.3061</v>
      </c>
      <c r="Q33" s="2" t="inlineStr">
        <is>
          <t>https://www.lcsc.com/product-detail/C42414902.html</t>
        </is>
      </c>
      <c r="R33" t="inlineStr">
        <is>
          <t>BGA-256 Microcontrollers (MCU/MPU/SOC) ROHS</t>
        </is>
      </c>
      <c r="T33" t="inlineStr">
        <is>
          <t>LOW STOCK 361, no candidate with &gt;= 1000</t>
        </is>
      </c>
    </row>
    <row r="34">
      <c r="A34" t="inlineStr">
        <is>
          <t>J4 J5</t>
        </is>
      </c>
      <c r="B34" t="n">
        <v>2</v>
      </c>
      <c r="C34" t="n">
        <v>2</v>
      </c>
      <c r="D34" t="inlineStr">
        <is>
          <t>54548-2271</t>
        </is>
      </c>
      <c r="E34" t="inlineStr">
        <is>
          <t>MOLX-54548-2271</t>
        </is>
      </c>
      <c r="F34" t="inlineStr">
        <is>
          <t>54548-2271</t>
        </is>
      </c>
      <c r="G34" t="inlineStr">
        <is>
          <t>C22459552</t>
        </is>
      </c>
      <c r="H34" t="inlineStr">
        <is>
          <t>05B20L22P</t>
        </is>
      </c>
      <c r="I34" t="inlineStr">
        <is>
          <t>HanElectricity</t>
        </is>
      </c>
      <c r="J34" t="inlineStr">
        <is>
          <t>SMD,P=0.5mm,Surface Mount，Right Angle</t>
        </is>
      </c>
      <c r="K34" t="inlineStr">
        <is>
          <t>Extended</t>
        </is>
      </c>
      <c r="L34" t="n">
        <v>2004</v>
      </c>
      <c r="M34" t="n">
        <v>1</v>
      </c>
      <c r="N34" t="n">
        <v>2</v>
      </c>
      <c r="O34" t="n">
        <v>0.0698</v>
      </c>
      <c r="P34" t="n">
        <v>0.1396</v>
      </c>
      <c r="Q34" s="2" t="inlineStr">
        <is>
          <t>https://www.lcsc.com/product-detail/C22459552.html</t>
        </is>
      </c>
      <c r="R34" t="inlineStr">
        <is>
          <t>-25℃~+85℃ 0.3mm 0.5mm 22P 2mm 400mA 50V Bottom Contact Phosphor bronze Slide Lock Surface Mount, Right Angle Tin SMD,P=0</t>
        </is>
      </c>
      <c r="T34" t="inlineStr">
        <is>
          <t>Molex 54548-2271 DISCONTINUED (LCSC: no longer manufactured). Same type (0.5mm 22P bottom-contact slide-lock, right angle) offered; FOOTPRINT MUST BE VERIFIED against its drawing</t>
        </is>
      </c>
    </row>
    <row r="35">
      <c r="A35" t="inlineStr">
        <is>
          <t>R5</t>
        </is>
      </c>
      <c r="B35" t="n">
        <v>1</v>
      </c>
      <c r="C35" t="n">
        <v>1</v>
      </c>
      <c r="D35" t="inlineStr">
        <is>
          <t>1.1k (1.5A)</t>
        </is>
      </c>
      <c r="E35" t="inlineStr">
        <is>
          <t>RES_0402</t>
        </is>
      </c>
      <c r="F35" t="inlineStr">
        <is>
          <t>1.1k_(1.5A)</t>
        </is>
      </c>
      <c r="G35" t="inlineStr">
        <is>
          <t>C54920634</t>
        </is>
      </c>
      <c r="H35" t="inlineStr">
        <is>
          <t>HRC0402F1101DNTO</t>
        </is>
      </c>
      <c r="I35" t="inlineStr">
        <is>
          <t>HWA CHN</t>
        </is>
      </c>
      <c r="J35" t="inlineStr">
        <is>
          <t>0402</t>
        </is>
      </c>
      <c r="K35" t="inlineStr">
        <is>
          <t>Extended</t>
        </is>
      </c>
      <c r="L35" t="n">
        <v>17360</v>
      </c>
      <c r="M35" t="n">
        <v>1</v>
      </c>
      <c r="N35" t="n">
        <v>1</v>
      </c>
      <c r="O35" t="n">
        <v>0.0007</v>
      </c>
      <c r="P35" t="n">
        <v>0.0007</v>
      </c>
      <c r="Q35" s="2" t="inlineStr">
        <is>
          <t>https://www.lcsc.com/product-detail/C54920634.html</t>
        </is>
      </c>
      <c r="R35" t="inlineStr">
        <is>
          <t>-55℃~+155℃ 1.1kΩ 50V 62.5mW Thick Film Resistor ±1% ±100ppm/℃ 0402 Chip Resistor - Surface Mount ROHS</t>
        </is>
      </c>
      <c r="S35" t="inlineStr">
        <is>
          <t>C22369271 RCA021K1FLF 0.00 USD</t>
        </is>
      </c>
    </row>
    <row r="36">
      <c r="A36" t="inlineStr">
        <is>
          <t>R7</t>
        </is>
      </c>
      <c r="B36" t="n">
        <v>1</v>
      </c>
      <c r="C36" t="n">
        <v>1</v>
      </c>
      <c r="D36" t="inlineStr">
        <is>
          <t>590R (1.5A)</t>
        </is>
      </c>
      <c r="E36" t="inlineStr">
        <is>
          <t>RES_0402</t>
        </is>
      </c>
      <c r="F36" t="inlineStr">
        <is>
          <t>590R_(1.5A)</t>
        </is>
      </c>
      <c r="G36" t="inlineStr">
        <is>
          <t>C49653889</t>
        </is>
      </c>
      <c r="H36" t="inlineStr">
        <is>
          <t>GR0402F590RTAG00</t>
        </is>
      </c>
      <c r="I36" t="inlineStr">
        <is>
          <t>GiantOhm</t>
        </is>
      </c>
      <c r="J36" t="inlineStr">
        <is>
          <t>0402</t>
        </is>
      </c>
      <c r="K36" t="inlineStr">
        <is>
          <t>Extended</t>
        </is>
      </c>
      <c r="L36" t="n">
        <v>10000</v>
      </c>
      <c r="M36" t="n">
        <v>1</v>
      </c>
      <c r="N36" t="n">
        <v>1</v>
      </c>
      <c r="O36" t="n">
        <v>0.0008</v>
      </c>
      <c r="P36" t="n">
        <v>0.0008</v>
      </c>
      <c r="Q36" s="2" t="inlineStr">
        <is>
          <t>https://www.lcsc.com/product-detail/C49653889.html</t>
        </is>
      </c>
      <c r="R36" t="inlineStr">
        <is>
          <t>-55℃~+155℃ 50V 590Ω 62.5mW Thick Film Resistor ±1% ±100ppm/℃ 0402 Chip Resistor - Surface Mount ROHS</t>
        </is>
      </c>
      <c r="S36" t="inlineStr">
        <is>
          <t>C48971902 RC-02K5900FT 0.00 USD</t>
        </is>
      </c>
    </row>
    <row r="37">
      <c r="A37" t="inlineStr">
        <is>
          <t>R12</t>
        </is>
      </c>
      <c r="B37" t="n">
        <v>1</v>
      </c>
      <c r="C37" t="n">
        <v>1</v>
      </c>
      <c r="D37" t="inlineStr">
        <is>
          <t>1.5k</t>
        </is>
      </c>
      <c r="E37" t="inlineStr">
        <is>
          <t>RES_0402</t>
        </is>
      </c>
      <c r="F37" t="inlineStr">
        <is>
          <t>1.5k</t>
        </is>
      </c>
      <c r="G37" t="inlineStr">
        <is>
          <t>C25867</t>
        </is>
      </c>
      <c r="H37" t="inlineStr">
        <is>
          <t>0402WGF1501TCE</t>
        </is>
      </c>
      <c r="I37" t="inlineStr">
        <is>
          <t>UNI-ROYAL(Uniroyal Elec)</t>
        </is>
      </c>
      <c r="J37" t="inlineStr">
        <is>
          <t>0402</t>
        </is>
      </c>
      <c r="K37" t="inlineStr">
        <is>
          <t>Basic</t>
        </is>
      </c>
      <c r="L37" t="n">
        <v>2485240</v>
      </c>
      <c r="M37" t="n">
        <v>1</v>
      </c>
      <c r="N37" t="n">
        <v>1</v>
      </c>
      <c r="O37" t="n">
        <v>0.0028</v>
      </c>
      <c r="P37" t="n">
        <v>0.0028</v>
      </c>
      <c r="Q37" s="2" t="inlineStr">
        <is>
          <t>https://www.lcsc.com/product-detail/C25867.html</t>
        </is>
      </c>
      <c r="R37" t="inlineStr">
        <is>
          <t>-55℃~+155℃ 1.5kΩ 50V 62.5mW Thick Film Resistor ±1% ±100ppm/℃ 0402 Chip Resistor - Surface Mount ROHS</t>
        </is>
      </c>
      <c r="S37" t="inlineStr">
        <is>
          <t>C22369462 RCA021K5FLF 0.00 USD</t>
        </is>
      </c>
      <c r="T37" t="inlineStr">
        <is>
          <t xml:space="preserve">Basic part; </t>
        </is>
      </c>
    </row>
    <row r="38">
      <c r="A38" t="inlineStr">
        <is>
          <t>R6 R19 R20 R23 R26 R27 R28 R30 R32 R35 R38 R45 R49 R51 R53 R58 R60 R61 R69 R76</t>
        </is>
      </c>
      <c r="B38" t="n">
        <v>20</v>
      </c>
      <c r="C38" t="n">
        <v>20</v>
      </c>
      <c r="D38" t="inlineStr">
        <is>
          <t>100k</t>
        </is>
      </c>
      <c r="E38" t="inlineStr">
        <is>
          <t>RES_0402</t>
        </is>
      </c>
      <c r="F38" t="inlineStr">
        <is>
          <t>100k</t>
        </is>
      </c>
      <c r="G38" t="inlineStr">
        <is>
          <t>C25741</t>
        </is>
      </c>
      <c r="H38" t="inlineStr">
        <is>
          <t>0402WGF1003TCE</t>
        </is>
      </c>
      <c r="I38" t="inlineStr">
        <is>
          <t>UNI-ROYAL(Uniroyal Elec)</t>
        </is>
      </c>
      <c r="J38" t="inlineStr">
        <is>
          <t>0402</t>
        </is>
      </c>
      <c r="K38" t="inlineStr">
        <is>
          <t>Basic</t>
        </is>
      </c>
      <c r="L38" t="n">
        <v>11296591</v>
      </c>
      <c r="M38" t="n">
        <v>1</v>
      </c>
      <c r="N38" t="n">
        <v>20</v>
      </c>
      <c r="O38" t="n">
        <v>0.0024</v>
      </c>
      <c r="P38" t="n">
        <v>0.048</v>
      </c>
      <c r="Q38" s="2" t="inlineStr">
        <is>
          <t>https://www.lcsc.com/product-detail/C25741.html</t>
        </is>
      </c>
      <c r="R38" t="inlineStr">
        <is>
          <t>-55℃~+155℃ 100kΩ 50V 62.5mW Thick Film Resistor ±1% ±100ppm/℃ 0402 Chip Resistor - Surface Mount ROHS</t>
        </is>
      </c>
      <c r="S38" t="inlineStr">
        <is>
          <t>C22369473 RCA02100KFLF 0.02 USD</t>
        </is>
      </c>
      <c r="T38" t="inlineStr">
        <is>
          <t xml:space="preserve">Basic part; </t>
        </is>
      </c>
    </row>
    <row r="39">
      <c r="A39" t="inlineStr">
        <is>
          <t>R2 R3 R10 R13 R16 R31 R34 R36 R39 R40 R41 R43 R44 R57 R64 R65 R67 R70</t>
        </is>
      </c>
      <c r="B39" t="n">
        <v>18</v>
      </c>
      <c r="C39" t="n">
        <v>18</v>
      </c>
      <c r="D39" t="inlineStr">
        <is>
          <t>10k</t>
        </is>
      </c>
      <c r="E39" t="inlineStr">
        <is>
          <t>RES_0402</t>
        </is>
      </c>
      <c r="F39" t="inlineStr">
        <is>
          <t>10k</t>
        </is>
      </c>
      <c r="G39" t="inlineStr">
        <is>
          <t>C25744</t>
        </is>
      </c>
      <c r="H39" t="inlineStr">
        <is>
          <t>0402WGF1002TCE</t>
        </is>
      </c>
      <c r="I39" t="inlineStr">
        <is>
          <t>UNI-ROYAL(Uniroyal Elec)</t>
        </is>
      </c>
      <c r="J39" t="inlineStr">
        <is>
          <t>0402</t>
        </is>
      </c>
      <c r="K39" t="inlineStr">
        <is>
          <t>Basic</t>
        </is>
      </c>
      <c r="L39" t="n">
        <v>27833513</v>
      </c>
      <c r="M39" t="n">
        <v>1</v>
      </c>
      <c r="N39" t="n">
        <v>18</v>
      </c>
      <c r="O39" t="n">
        <v>0.003</v>
      </c>
      <c r="P39" t="n">
        <v>0.054</v>
      </c>
      <c r="Q39" s="2" t="inlineStr">
        <is>
          <t>https://www.lcsc.com/product-detail/C25744.html</t>
        </is>
      </c>
      <c r="R39" t="inlineStr">
        <is>
          <t>-55℃~+155℃ 10kΩ 50V 62.5mW Thick Film Resistor ±1% ±100ppm/℃ 0402 Chip Resistor - Surface Mount ROHS</t>
        </is>
      </c>
      <c r="T39" t="inlineStr">
        <is>
          <t>Basic part; LCSC-orderable substitute for C22369472 RCA0210KFLF (not sold / no stock on lcsc.com)</t>
        </is>
      </c>
    </row>
    <row r="40">
      <c r="A40" t="inlineStr">
        <is>
          <t>R29</t>
        </is>
      </c>
      <c r="B40" t="n">
        <v>1</v>
      </c>
      <c r="C40" t="n">
        <v>1</v>
      </c>
      <c r="D40" t="inlineStr">
        <is>
          <t>120k</t>
        </is>
      </c>
      <c r="E40" t="inlineStr">
        <is>
          <t>RES_0402</t>
        </is>
      </c>
      <c r="F40" t="inlineStr">
        <is>
          <t>120k</t>
        </is>
      </c>
      <c r="G40" t="inlineStr">
        <is>
          <t>C54920620</t>
        </is>
      </c>
      <c r="H40" t="inlineStr">
        <is>
          <t>HRC0402F1203DNTO</t>
        </is>
      </c>
      <c r="I40" t="inlineStr">
        <is>
          <t>HWA CHN</t>
        </is>
      </c>
      <c r="J40" t="inlineStr">
        <is>
          <t>0402</t>
        </is>
      </c>
      <c r="K40" t="inlineStr">
        <is>
          <t>Extended</t>
        </is>
      </c>
      <c r="L40" t="n">
        <v>1191972</v>
      </c>
      <c r="M40" t="n">
        <v>1</v>
      </c>
      <c r="N40" t="n">
        <v>1</v>
      </c>
      <c r="O40" t="n">
        <v>0.0007</v>
      </c>
      <c r="P40" t="n">
        <v>0.0007</v>
      </c>
      <c r="Q40" s="2" t="inlineStr">
        <is>
          <t>https://www.lcsc.com/product-detail/C54920620.html</t>
        </is>
      </c>
      <c r="R40" t="inlineStr">
        <is>
          <t>-55℃~+155℃ 120kΩ 50V 62.5mW Thick Film Resistor ±1% ±100ppm/℃ 0402 Chip Resistor - Surface Mount ROHS</t>
        </is>
      </c>
      <c r="S40" t="inlineStr">
        <is>
          <t>C22356241 RCA02120KFLF 0.00 USD</t>
        </is>
      </c>
    </row>
    <row r="41">
      <c r="A41" t="inlineStr">
        <is>
          <t>R8</t>
        </is>
      </c>
      <c r="B41" t="n">
        <v>1</v>
      </c>
      <c r="C41" t="n">
        <v>1</v>
      </c>
      <c r="D41" t="inlineStr">
        <is>
          <t>150k</t>
        </is>
      </c>
      <c r="E41" t="inlineStr">
        <is>
          <t>RES_0402</t>
        </is>
      </c>
      <c r="F41" t="inlineStr">
        <is>
          <t>150k</t>
        </is>
      </c>
      <c r="G41" t="inlineStr">
        <is>
          <t>C54920625</t>
        </is>
      </c>
      <c r="H41" t="inlineStr">
        <is>
          <t>HRC0402F1503DNTO</t>
        </is>
      </c>
      <c r="I41" t="inlineStr">
        <is>
          <t>HWA CHN</t>
        </is>
      </c>
      <c r="J41" t="inlineStr">
        <is>
          <t>0402</t>
        </is>
      </c>
      <c r="K41" t="inlineStr">
        <is>
          <t>Extended</t>
        </is>
      </c>
      <c r="L41" t="n">
        <v>18610</v>
      </c>
      <c r="M41" t="n">
        <v>1</v>
      </c>
      <c r="N41" t="n">
        <v>1</v>
      </c>
      <c r="O41" t="n">
        <v>0.0007</v>
      </c>
      <c r="P41" t="n">
        <v>0.0007</v>
      </c>
      <c r="Q41" s="2" t="inlineStr">
        <is>
          <t>https://www.lcsc.com/product-detail/C54920625.html</t>
        </is>
      </c>
      <c r="R41" t="inlineStr">
        <is>
          <t>-55℃~+155℃ 150kΩ 50V 62.5mW Thick Film Resistor ±1% ±100ppm/℃ 0402 Chip Resistor - Surface Mount ROHS</t>
        </is>
      </c>
      <c r="S41" t="inlineStr">
        <is>
          <t>C22369540 RCA02150KFLF 0.00 USD</t>
        </is>
      </c>
    </row>
    <row r="42">
      <c r="A42" t="inlineStr">
        <is>
          <t>R37 R62</t>
        </is>
      </c>
      <c r="B42" t="n">
        <v>2</v>
      </c>
      <c r="C42" t="n">
        <v>2</v>
      </c>
      <c r="D42" t="inlineStr">
        <is>
          <t>200R</t>
        </is>
      </c>
      <c r="E42" t="inlineStr">
        <is>
          <t>RES_0402</t>
        </is>
      </c>
      <c r="F42" t="inlineStr">
        <is>
          <t>200R</t>
        </is>
      </c>
      <c r="G42" t="inlineStr">
        <is>
          <t>C25087</t>
        </is>
      </c>
      <c r="H42" t="inlineStr">
        <is>
          <t>0402WGF2000TCE</t>
        </is>
      </c>
      <c r="I42" t="inlineStr">
        <is>
          <t>UNI-ROYAL(Uniroyal Elec)</t>
        </is>
      </c>
      <c r="J42" t="inlineStr">
        <is>
          <t>0402</t>
        </is>
      </c>
      <c r="K42" t="inlineStr">
        <is>
          <t>Basic</t>
        </is>
      </c>
      <c r="L42" t="n">
        <v>2969246</v>
      </c>
      <c r="M42" t="n">
        <v>1</v>
      </c>
      <c r="N42" t="n">
        <v>2</v>
      </c>
      <c r="O42" t="n">
        <v>0.0028</v>
      </c>
      <c r="P42" t="n">
        <v>0.0056</v>
      </c>
      <c r="Q42" s="2" t="inlineStr">
        <is>
          <t>https://www.lcsc.com/product-detail/C25087.html</t>
        </is>
      </c>
      <c r="R42" t="inlineStr">
        <is>
          <t>-55℃~+155℃ 200Ω 50V 62.5mW Thick Film Resistor ±1% ±100ppm/℃ 0402 Chip Resistor - Surface Mount ROHS</t>
        </is>
      </c>
      <c r="S42" t="inlineStr">
        <is>
          <t>C22356253 RCA02200RFLF 0.00 USD</t>
        </is>
      </c>
      <c r="T42" t="inlineStr">
        <is>
          <t xml:space="preserve">Basic part; </t>
        </is>
      </c>
    </row>
    <row r="43">
      <c r="A43" t="inlineStr">
        <is>
          <t>R59</t>
        </is>
      </c>
      <c r="B43" t="n">
        <v>1</v>
      </c>
      <c r="C43" t="n">
        <v>1</v>
      </c>
      <c r="D43" t="inlineStr">
        <is>
          <t>200k</t>
        </is>
      </c>
      <c r="E43" t="inlineStr">
        <is>
          <t>RES_0402</t>
        </is>
      </c>
      <c r="F43" t="inlineStr">
        <is>
          <t>200k</t>
        </is>
      </c>
      <c r="G43" t="inlineStr">
        <is>
          <t>C25764</t>
        </is>
      </c>
      <c r="H43" t="inlineStr">
        <is>
          <t>0402WGF2003TCE</t>
        </is>
      </c>
      <c r="I43" t="inlineStr">
        <is>
          <t>UNI-ROYAL(Uniroyal Elec)</t>
        </is>
      </c>
      <c r="J43" t="inlineStr">
        <is>
          <t>0402</t>
        </is>
      </c>
      <c r="K43" t="inlineStr">
        <is>
          <t>Basic</t>
        </is>
      </c>
      <c r="L43" t="n">
        <v>2016817</v>
      </c>
      <c r="M43" t="n">
        <v>1</v>
      </c>
      <c r="N43" t="n">
        <v>1</v>
      </c>
      <c r="O43" t="n">
        <v>0.0019</v>
      </c>
      <c r="P43" t="n">
        <v>0.0019</v>
      </c>
      <c r="Q43" s="2" t="inlineStr">
        <is>
          <t>https://www.lcsc.com/product-detail/C25764.html</t>
        </is>
      </c>
      <c r="R43" t="inlineStr">
        <is>
          <t>-55℃~+155℃ 200kΩ 50V 62.5mW Thick Film Resistor ±1% ±100ppm/℃ 0402 Chip Resistor - Surface Mount ROHS</t>
        </is>
      </c>
      <c r="T43" t="inlineStr">
        <is>
          <t>Basic part; LCSC-orderable substitute for C22369550 RCA02200KFLF (not sold / no stock on lcsc.com)</t>
        </is>
      </c>
    </row>
    <row r="44">
      <c r="A44" t="inlineStr">
        <is>
          <t>R42</t>
        </is>
      </c>
      <c r="B44" t="n">
        <v>1</v>
      </c>
      <c r="C44" t="n">
        <v>1</v>
      </c>
      <c r="D44" t="inlineStr">
        <is>
          <t>22R</t>
        </is>
      </c>
      <c r="E44" t="inlineStr">
        <is>
          <t>RES_0402</t>
        </is>
      </c>
      <c r="F44" t="inlineStr">
        <is>
          <t>22R</t>
        </is>
      </c>
      <c r="G44" t="inlineStr">
        <is>
          <t>C25092</t>
        </is>
      </c>
      <c r="H44" t="inlineStr">
        <is>
          <t>0402WGF220JTCE</t>
        </is>
      </c>
      <c r="I44" t="inlineStr">
        <is>
          <t>UNI-ROYAL(Uniroyal Elec)</t>
        </is>
      </c>
      <c r="J44" t="inlineStr">
        <is>
          <t>0402</t>
        </is>
      </c>
      <c r="K44" t="inlineStr">
        <is>
          <t>Basic</t>
        </is>
      </c>
      <c r="L44" t="n">
        <v>6486917</v>
      </c>
      <c r="M44" t="n">
        <v>1</v>
      </c>
      <c r="N44" t="n">
        <v>1</v>
      </c>
      <c r="O44" t="n">
        <v>0.0028</v>
      </c>
      <c r="P44" t="n">
        <v>0.0028</v>
      </c>
      <c r="Q44" s="2" t="inlineStr">
        <is>
          <t>https://www.lcsc.com/product-detail/C25092.html</t>
        </is>
      </c>
      <c r="R44" t="inlineStr">
        <is>
          <t>-55℃~+155℃ 22Ω 50V 62.5mW Thick Film Resistor ±1% ±100ppm/℃ 0402 Chip Resistor - Surface Mount ROHS</t>
        </is>
      </c>
      <c r="S44" t="inlineStr">
        <is>
          <t>C2759796 CQ02WGF220JTCE 0.00 USD</t>
        </is>
      </c>
      <c r="T44" t="inlineStr">
        <is>
          <t xml:space="preserve">Basic part; </t>
        </is>
      </c>
    </row>
    <row r="45">
      <c r="A45" t="inlineStr">
        <is>
          <t>R33 R46 R47 R48</t>
        </is>
      </c>
      <c r="B45" t="n">
        <v>4</v>
      </c>
      <c r="C45" t="n">
        <v>4</v>
      </c>
      <c r="D45" t="inlineStr">
        <is>
          <t>240R</t>
        </is>
      </c>
      <c r="E45" t="inlineStr">
        <is>
          <t>RES_0402</t>
        </is>
      </c>
      <c r="F45" t="inlineStr">
        <is>
          <t>240R</t>
        </is>
      </c>
      <c r="G45" t="inlineStr">
        <is>
          <t>C324768</t>
        </is>
      </c>
      <c r="H45" t="inlineStr">
        <is>
          <t>RC-02K2400FT</t>
        </is>
      </c>
      <c r="I45" t="inlineStr">
        <is>
          <t>FH (Guangdong Fenghua Advanced Tech)</t>
        </is>
      </c>
      <c r="J45" t="inlineStr">
        <is>
          <t>0402</t>
        </is>
      </c>
      <c r="K45" t="inlineStr">
        <is>
          <t>Extended</t>
        </is>
      </c>
      <c r="L45" t="n">
        <v>347318</v>
      </c>
      <c r="M45" t="n">
        <v>1</v>
      </c>
      <c r="N45" t="n">
        <v>4</v>
      </c>
      <c r="O45" t="n">
        <v>0.0013</v>
      </c>
      <c r="P45" t="n">
        <v>0.0052</v>
      </c>
      <c r="Q45" s="2" t="inlineStr">
        <is>
          <t>https://www.lcsc.com/product-detail/C324768.html</t>
        </is>
      </c>
      <c r="R45" t="inlineStr">
        <is>
          <t>-55℃~+155℃ 240Ω 50V 62.5mW Thick Film Resistor ±1% ±100ppm/℃ 0402 Chip Resistor - Surface Mount ROHS</t>
        </is>
      </c>
      <c r="T45" t="inlineStr">
        <is>
          <t>LCSC-orderable substitute for C22356255 RCA02240RFLF (not sold / no stock on lcsc.com)</t>
        </is>
      </c>
    </row>
    <row r="46">
      <c r="A46" t="inlineStr">
        <is>
          <t>R56</t>
        </is>
      </c>
      <c r="B46" t="n">
        <v>1</v>
      </c>
      <c r="C46" t="n">
        <v>1</v>
      </c>
      <c r="D46" t="inlineStr">
        <is>
          <t>261k</t>
        </is>
      </c>
      <c r="E46" t="inlineStr">
        <is>
          <t>RES_0402</t>
        </is>
      </c>
      <c r="F46" t="inlineStr">
        <is>
          <t>261k</t>
        </is>
      </c>
      <c r="G46" t="inlineStr">
        <is>
          <t>C102933</t>
        </is>
      </c>
      <c r="H46" t="inlineStr">
        <is>
          <t>RTT022613FTH</t>
        </is>
      </c>
      <c r="I46" t="inlineStr">
        <is>
          <t>RALEC</t>
        </is>
      </c>
      <c r="J46" t="inlineStr">
        <is>
          <t>0402</t>
        </is>
      </c>
      <c r="K46" t="inlineStr">
        <is>
          <t>Extended</t>
        </is>
      </c>
      <c r="L46" t="n">
        <v>37942</v>
      </c>
      <c r="M46" t="n">
        <v>1</v>
      </c>
      <c r="N46" t="n">
        <v>1</v>
      </c>
      <c r="O46" t="n">
        <v>0.0007</v>
      </c>
      <c r="P46" t="n">
        <v>0.0007</v>
      </c>
      <c r="Q46" s="2" t="inlineStr">
        <is>
          <t>https://www.lcsc.com/product-detail/C102933.html</t>
        </is>
      </c>
      <c r="R46" t="inlineStr">
        <is>
          <t>-55℃~+155℃ 261kΩ 50V 62.5mW Thick Film Resistor ±1% ±100ppm/℃ 0402 Chip Resistor - Surface Mount ROHS</t>
        </is>
      </c>
      <c r="S46" t="inlineStr">
        <is>
          <t>C49656016 GR0402F261KTAG00 0.00 USD</t>
        </is>
      </c>
    </row>
    <row r="47">
      <c r="A47" t="inlineStr">
        <is>
          <t>R63</t>
        </is>
      </c>
      <c r="B47" t="n">
        <v>1</v>
      </c>
      <c r="C47" t="n">
        <v>1</v>
      </c>
      <c r="D47" t="inlineStr">
        <is>
          <t>30k</t>
        </is>
      </c>
      <c r="E47" t="inlineStr">
        <is>
          <t>RES_0402</t>
        </is>
      </c>
      <c r="F47" t="inlineStr">
        <is>
          <t>30k</t>
        </is>
      </c>
      <c r="G47" t="inlineStr">
        <is>
          <t>C49653548</t>
        </is>
      </c>
      <c r="H47" t="inlineStr">
        <is>
          <t>GR0402F30KTAG00</t>
        </is>
      </c>
      <c r="I47" t="inlineStr">
        <is>
          <t>GiantOhm</t>
        </is>
      </c>
      <c r="J47" t="inlineStr">
        <is>
          <t>0402</t>
        </is>
      </c>
      <c r="K47" t="inlineStr">
        <is>
          <t>Extended</t>
        </is>
      </c>
      <c r="L47" t="n">
        <v>10000</v>
      </c>
      <c r="M47" t="n">
        <v>1</v>
      </c>
      <c r="N47" t="n">
        <v>1</v>
      </c>
      <c r="O47" t="n">
        <v>0.0008</v>
      </c>
      <c r="P47" t="n">
        <v>0.0008</v>
      </c>
      <c r="Q47" s="2" t="inlineStr">
        <is>
          <t>https://www.lcsc.com/product-detail/C49653548.html</t>
        </is>
      </c>
      <c r="R47" t="inlineStr">
        <is>
          <t>-55℃~+155℃ 30kΩ 50V 62.5mW Thick Film Resistor ±1% ±100ppm/℃ 0402 Chip Resistor - Surface Mount ROHS</t>
        </is>
      </c>
      <c r="S47" t="inlineStr">
        <is>
          <t>C22369568 RCA0230KFLF 0.00 USD</t>
        </is>
      </c>
    </row>
    <row r="48">
      <c r="A48" t="inlineStr">
        <is>
          <t>R25</t>
        </is>
      </c>
      <c r="B48" t="n">
        <v>1</v>
      </c>
      <c r="C48" t="n">
        <v>1</v>
      </c>
      <c r="D48" t="inlineStr">
        <is>
          <t>33k</t>
        </is>
      </c>
      <c r="E48" t="inlineStr">
        <is>
          <t>RES_0402</t>
        </is>
      </c>
      <c r="F48" t="inlineStr">
        <is>
          <t>33.2k</t>
        </is>
      </c>
      <c r="G48" t="inlineStr">
        <is>
          <t>C25779</t>
        </is>
      </c>
      <c r="H48" t="inlineStr">
        <is>
          <t>0402WGF3302TCE</t>
        </is>
      </c>
      <c r="I48" t="inlineStr">
        <is>
          <t>UNI-ROYAL(Uniroyal Elec)</t>
        </is>
      </c>
      <c r="J48" t="inlineStr">
        <is>
          <t>0402</t>
        </is>
      </c>
      <c r="K48" t="inlineStr">
        <is>
          <t>Basic</t>
        </is>
      </c>
      <c r="L48" t="n">
        <v>1404931</v>
      </c>
      <c r="M48" t="n">
        <v>1</v>
      </c>
      <c r="N48" t="n">
        <v>1</v>
      </c>
      <c r="O48" t="n">
        <v>0.0089</v>
      </c>
      <c r="P48" t="n">
        <v>0.0089</v>
      </c>
      <c r="Q48" s="2" t="inlineStr">
        <is>
          <t>https://www.lcsc.com/product-detail/C25779.html</t>
        </is>
      </c>
      <c r="R48" t="inlineStr">
        <is>
          <t>-55℃~+155℃ 33kΩ 50V 62.5mW Thick Film Resistor ±1% ±100ppm/℃ 0402 Chip Resistor - Surface Mount ROHS</t>
        </is>
      </c>
      <c r="S48" t="inlineStr">
        <is>
          <t>C122548 0402WGF3322TCE 0.00 USD</t>
        </is>
      </c>
      <c r="T48" t="inlineStr">
        <is>
          <t xml:space="preserve">Basic part; </t>
        </is>
      </c>
    </row>
    <row r="49">
      <c r="A49" t="inlineStr">
        <is>
          <t>R14 R15 R17 R18 R73 R74</t>
        </is>
      </c>
      <c r="B49" t="n">
        <v>6</v>
      </c>
      <c r="C49" t="n">
        <v>6</v>
      </c>
      <c r="D49" t="inlineStr">
        <is>
          <t>4.7k</t>
        </is>
      </c>
      <c r="E49" t="inlineStr">
        <is>
          <t>RES_0402</t>
        </is>
      </c>
      <c r="F49" t="inlineStr">
        <is>
          <t>4.7k</t>
        </is>
      </c>
      <c r="G49" t="inlineStr">
        <is>
          <t>C25900</t>
        </is>
      </c>
      <c r="H49" t="inlineStr">
        <is>
          <t>0402WGF4701TCE</t>
        </is>
      </c>
      <c r="I49" t="inlineStr">
        <is>
          <t>UNI-ROYAL(Uniroyal Elec)</t>
        </is>
      </c>
      <c r="J49" t="inlineStr">
        <is>
          <t>0402</t>
        </is>
      </c>
      <c r="K49" t="inlineStr">
        <is>
          <t>Basic</t>
        </is>
      </c>
      <c r="L49" t="n">
        <v>17899557</v>
      </c>
      <c r="M49" t="n">
        <v>1</v>
      </c>
      <c r="N49" t="n">
        <v>6</v>
      </c>
      <c r="O49" t="n">
        <v>0.0028</v>
      </c>
      <c r="P49" t="n">
        <v>0.0168</v>
      </c>
      <c r="Q49" s="2" t="inlineStr">
        <is>
          <t>https://www.lcsc.com/product-detail/C25900.html</t>
        </is>
      </c>
      <c r="R49" t="inlineStr">
        <is>
          <t>-55℃~+155℃ 4.7kΩ 50V 62.5mW Thick Film Resistor ±1% ±100ppm/℃ 0402 Chip Resistor - Surface Mount ROHS</t>
        </is>
      </c>
      <c r="S49" t="inlineStr">
        <is>
          <t>C22369456 RCA024K7FLF 0.01 USD</t>
        </is>
      </c>
      <c r="T49" t="inlineStr">
        <is>
          <t xml:space="preserve">Basic part; </t>
        </is>
      </c>
    </row>
    <row r="50">
      <c r="A50" t="inlineStr">
        <is>
          <t>R21</t>
        </is>
      </c>
      <c r="B50" t="n">
        <v>1</v>
      </c>
      <c r="C50" t="n">
        <v>1</v>
      </c>
      <c r="D50" t="inlineStr">
        <is>
          <t>47k</t>
        </is>
      </c>
      <c r="E50" t="inlineStr">
        <is>
          <t>RES_0402</t>
        </is>
      </c>
      <c r="F50" t="inlineStr">
        <is>
          <t>46.4k</t>
        </is>
      </c>
      <c r="G50" t="inlineStr">
        <is>
          <t>C25792</t>
        </is>
      </c>
      <c r="H50" t="inlineStr">
        <is>
          <t>0402WGF4702TCE</t>
        </is>
      </c>
      <c r="I50" t="inlineStr">
        <is>
          <t>UNI-ROYAL(Uniroyal Elec)</t>
        </is>
      </c>
      <c r="J50" t="inlineStr">
        <is>
          <t>0402</t>
        </is>
      </c>
      <c r="K50" t="inlineStr">
        <is>
          <t>Basic</t>
        </is>
      </c>
      <c r="L50" t="n">
        <v>6019599</v>
      </c>
      <c r="M50" t="n">
        <v>1</v>
      </c>
      <c r="N50" t="n">
        <v>1</v>
      </c>
      <c r="O50" t="n">
        <v>0.0026</v>
      </c>
      <c r="P50" t="n">
        <v>0.0026</v>
      </c>
      <c r="Q50" s="2" t="inlineStr">
        <is>
          <t>https://www.lcsc.com/product-detail/C25792.html</t>
        </is>
      </c>
      <c r="R50" t="inlineStr">
        <is>
          <t>-55℃~+155℃ 47kΩ 50V 62.5mW Thick Film Resistor ±1% ±100ppm/℃ 0402 Chip Resistor - Surface Mount ROHS</t>
        </is>
      </c>
      <c r="S50" t="inlineStr">
        <is>
          <t>C49654486 GR0402F46K4TAG00 0.00 USD</t>
        </is>
      </c>
      <c r="T50" t="inlineStr">
        <is>
          <t xml:space="preserve">Basic part; </t>
        </is>
      </c>
    </row>
    <row r="51">
      <c r="A51" t="inlineStr">
        <is>
          <t>R1 R4 R9 R11</t>
        </is>
      </c>
      <c r="B51" t="n">
        <v>4</v>
      </c>
      <c r="C51" t="n">
        <v>4</v>
      </c>
      <c r="D51" t="inlineStr">
        <is>
          <t>5.1k</t>
        </is>
      </c>
      <c r="E51" t="inlineStr">
        <is>
          <t>RES_0402</t>
        </is>
      </c>
      <c r="F51" t="inlineStr">
        <is>
          <t>5.1k</t>
        </is>
      </c>
      <c r="G51" t="inlineStr">
        <is>
          <t>C25905</t>
        </is>
      </c>
      <c r="H51" t="inlineStr">
        <is>
          <t>0402WGF5101TCE</t>
        </is>
      </c>
      <c r="I51" t="inlineStr">
        <is>
          <t>UNI-ROYAL(Uniroyal Elec)</t>
        </is>
      </c>
      <c r="J51" t="inlineStr">
        <is>
          <t>0402</t>
        </is>
      </c>
      <c r="K51" t="inlineStr">
        <is>
          <t>Basic</t>
        </is>
      </c>
      <c r="L51" t="n">
        <v>7309528</v>
      </c>
      <c r="M51" t="n">
        <v>1</v>
      </c>
      <c r="N51" t="n">
        <v>4</v>
      </c>
      <c r="O51" t="n">
        <v>0.0024</v>
      </c>
      <c r="P51" t="n">
        <v>0.009599999999999999</v>
      </c>
      <c r="Q51" s="2" t="inlineStr">
        <is>
          <t>https://www.lcsc.com/product-detail/C25905.html</t>
        </is>
      </c>
      <c r="R51" t="inlineStr">
        <is>
          <t>-55℃~+155℃ 5.1kΩ 50V 62.5mW Thick Film Resistor ±1% ±100ppm/℃ 0402 Chip Resistor - Surface Mount ROHS</t>
        </is>
      </c>
      <c r="T51" t="inlineStr">
        <is>
          <t>Basic part; LCSC-orderable substitute for C22369457 RCA025K1FLF (not sold / no stock on lcsc.com)</t>
        </is>
      </c>
    </row>
    <row r="52">
      <c r="A52" t="inlineStr">
        <is>
          <t>R22 R50 R71 R72</t>
        </is>
      </c>
      <c r="B52" t="n">
        <v>4</v>
      </c>
      <c r="C52" t="n">
        <v>4</v>
      </c>
      <c r="D52" t="inlineStr">
        <is>
          <t>511k</t>
        </is>
      </c>
      <c r="E52" t="inlineStr">
        <is>
          <t>RES_0402</t>
        </is>
      </c>
      <c r="F52" t="inlineStr">
        <is>
          <t>511k</t>
        </is>
      </c>
      <c r="G52" t="inlineStr">
        <is>
          <t>C49655223</t>
        </is>
      </c>
      <c r="H52" t="inlineStr">
        <is>
          <t>GR0402F511KTAG00</t>
        </is>
      </c>
      <c r="I52" t="inlineStr">
        <is>
          <t>GiantOhm</t>
        </is>
      </c>
      <c r="J52" t="inlineStr">
        <is>
          <t>0402</t>
        </is>
      </c>
      <c r="K52" t="inlineStr">
        <is>
          <t>Extended</t>
        </is>
      </c>
      <c r="L52" t="n">
        <v>7820</v>
      </c>
      <c r="M52" t="n">
        <v>1</v>
      </c>
      <c r="N52" t="n">
        <v>4</v>
      </c>
      <c r="O52" t="n">
        <v>0.0008</v>
      </c>
      <c r="P52" t="n">
        <v>0.0032</v>
      </c>
      <c r="Q52" s="2" t="inlineStr">
        <is>
          <t>https://www.lcsc.com/product-detail/C49655223.html</t>
        </is>
      </c>
      <c r="R52" t="inlineStr">
        <is>
          <t>-55℃~+155℃ 50V 511kΩ 62.5mW Thick Film Resistor ±1% 0402 Chip Resistor - Surface Mount ROHS</t>
        </is>
      </c>
      <c r="S52" t="inlineStr">
        <is>
          <t>C5126239 FRC0402F5113TS 0.01 USD</t>
        </is>
      </c>
    </row>
    <row r="53">
      <c r="A53" t="inlineStr">
        <is>
          <t>R24 R55</t>
        </is>
      </c>
      <c r="B53" t="n">
        <v>2</v>
      </c>
      <c r="C53" t="n">
        <v>2</v>
      </c>
      <c r="D53" t="inlineStr">
        <is>
          <t>91k</t>
        </is>
      </c>
      <c r="E53" t="inlineStr">
        <is>
          <t>RES_0402</t>
        </is>
      </c>
      <c r="F53" t="inlineStr">
        <is>
          <t>91k</t>
        </is>
      </c>
      <c r="G53" t="inlineStr">
        <is>
          <t>C54920709</t>
        </is>
      </c>
      <c r="H53" t="inlineStr">
        <is>
          <t>HRC0402F9102DNTO</t>
        </is>
      </c>
      <c r="I53" t="inlineStr">
        <is>
          <t>HWA CHN</t>
        </is>
      </c>
      <c r="J53" t="inlineStr">
        <is>
          <t>0402</t>
        </is>
      </c>
      <c r="K53" t="inlineStr">
        <is>
          <t>Extended</t>
        </is>
      </c>
      <c r="L53" t="n">
        <v>133322</v>
      </c>
      <c r="M53" t="n">
        <v>1</v>
      </c>
      <c r="N53" t="n">
        <v>2</v>
      </c>
      <c r="O53" t="n">
        <v>0.0007</v>
      </c>
      <c r="P53" t="n">
        <v>0.0014</v>
      </c>
      <c r="Q53" s="2" t="inlineStr">
        <is>
          <t>https://www.lcsc.com/product-detail/C54920709.html</t>
        </is>
      </c>
      <c r="R53" t="inlineStr">
        <is>
          <t>-55℃~+155℃ 50V 62.5mW 91kΩ Thick Film Resistor ±1% ±100ppm/℃ 0402 Chip Resistor - Surface Mount ROHS</t>
        </is>
      </c>
      <c r="S53" t="inlineStr">
        <is>
          <t>C22369327 RCA0291KFLF 0.00 USD</t>
        </is>
      </c>
    </row>
    <row r="54">
      <c r="A54" t="inlineStr">
        <is>
          <t>U1</t>
        </is>
      </c>
      <c r="B54" t="n">
        <v>1</v>
      </c>
      <c r="C54" t="n">
        <v>1</v>
      </c>
      <c r="D54" t="inlineStr">
        <is>
          <t>BQ24072TRGTR</t>
        </is>
      </c>
      <c r="E54" t="inlineStr">
        <is>
          <t>RGT0016C_V</t>
        </is>
      </c>
      <c r="F54" t="inlineStr">
        <is>
          <t>BQ24072TRGTR</t>
        </is>
      </c>
      <c r="G54" t="inlineStr">
        <is>
          <t>C129319</t>
        </is>
      </c>
      <c r="H54" t="inlineStr">
        <is>
          <t>BQ24072TRGTR</t>
        </is>
      </c>
      <c r="I54" t="inlineStr">
        <is>
          <t>Texas Instruments</t>
        </is>
      </c>
      <c r="J54" t="inlineStr">
        <is>
          <t>QFN-16-EP(3x3)</t>
        </is>
      </c>
      <c r="K54" t="inlineStr">
        <is>
          <t>Extended</t>
        </is>
      </c>
      <c r="L54" t="n">
        <v>387</v>
      </c>
      <c r="M54" t="n">
        <v>1</v>
      </c>
      <c r="N54" t="n">
        <v>1</v>
      </c>
      <c r="O54" t="n">
        <v>2.1681</v>
      </c>
      <c r="P54" t="n">
        <v>2.1681</v>
      </c>
      <c r="Q54" s="2" t="inlineStr">
        <is>
          <t>https://www.lcsc.com/product-detail/C129319.html</t>
        </is>
      </c>
      <c r="R54" t="inlineStr">
        <is>
          <t>0℃~+125℃ 1.5A 1.5mA 4.2V 4.35V~6.4V Charging IC Lithium Battery Support QFN-16-EP(3x3) Battery Management ROHS</t>
        </is>
      </c>
      <c r="T54" t="inlineStr">
        <is>
          <t>LOW STOCK 387, no candidate with &gt;= 1000</t>
        </is>
      </c>
    </row>
    <row r="55">
      <c r="A55" t="inlineStr">
        <is>
          <t>B1_N B1_P</t>
        </is>
      </c>
      <c r="B55" t="n">
        <v>2</v>
      </c>
      <c r="C55" t="n">
        <v>2</v>
      </c>
      <c r="D55" t="inlineStr">
        <is>
          <t>TESTP</t>
        </is>
      </c>
      <c r="E55" t="inlineStr">
        <is>
          <t>TESTP</t>
        </is>
      </c>
      <c r="F55" t="inlineStr">
        <is>
          <t>TESTP</t>
        </is>
      </c>
      <c r="T55" t="inlineStr">
        <is>
          <t>no purchased part (pad / test point / antenna)</t>
        </is>
      </c>
    </row>
    <row r="56">
      <c r="A56" t="inlineStr">
        <is>
          <t>U14 U15</t>
        </is>
      </c>
      <c r="B56" t="n">
        <v>2</v>
      </c>
      <c r="C56" t="n">
        <v>2</v>
      </c>
      <c r="D56" t="inlineStr">
        <is>
          <t>TPS61160ADRVT</t>
        </is>
      </c>
      <c r="E56" t="inlineStr">
        <is>
          <t>TPS61160ADRVT</t>
        </is>
      </c>
      <c r="F56" t="inlineStr">
        <is>
          <t>TPS61160ADRVT</t>
        </is>
      </c>
      <c r="G56" t="inlineStr">
        <is>
          <t>C2867168</t>
        </is>
      </c>
      <c r="H56" t="inlineStr">
        <is>
          <t>TPS61160ADRVT</t>
        </is>
      </c>
      <c r="I56" t="inlineStr">
        <is>
          <t>Texas Instruments</t>
        </is>
      </c>
      <c r="J56" t="inlineStr">
        <is>
          <t>WSON-6-EP(2x2)</t>
        </is>
      </c>
      <c r="K56" t="inlineStr">
        <is>
          <t>Extended</t>
        </is>
      </c>
      <c r="L56" t="n">
        <v>36</v>
      </c>
      <c r="M56" t="n">
        <v>1</v>
      </c>
      <c r="N56" t="n">
        <v>2</v>
      </c>
      <c r="O56" t="n">
        <v>1.1068</v>
      </c>
      <c r="P56" t="n">
        <v>2.2136</v>
      </c>
      <c r="Q56" s="2" t="inlineStr">
        <is>
          <t>https://www.lcsc.com/product-detail/C2867168.html</t>
        </is>
      </c>
      <c r="R56" t="inlineStr">
        <is>
          <t>-40℃~+85℃ 1 2% 2.7V~18V 26V 600kHz Boost Built-in DC-DC Over Voltage Protection、Over-Temperature Protection (OTP) PWM WS</t>
        </is>
      </c>
      <c r="T56" t="inlineStr">
        <is>
          <t>LOW STOCK 36, no candidate with &gt;= 1000</t>
        </is>
      </c>
    </row>
    <row r="57">
      <c r="A57" t="inlineStr">
        <is>
          <t>USBC1 USBC2</t>
        </is>
      </c>
      <c r="B57" t="n">
        <v>2</v>
      </c>
      <c r="C57" t="n">
        <v>2</v>
      </c>
      <c r="D57" t="inlineStr">
        <is>
          <t>type-c-31-m-12</t>
        </is>
      </c>
      <c r="E57" t="inlineStr">
        <is>
          <t>TYPE-C-31-M-12</t>
        </is>
      </c>
      <c r="F57" t="inlineStr">
        <is>
          <t>type-c-31-m-12</t>
        </is>
      </c>
      <c r="G57" t="inlineStr">
        <is>
          <t>C165948</t>
        </is>
      </c>
      <c r="H57" t="inlineStr">
        <is>
          <t>TYPE-C-31-M-12</t>
        </is>
      </c>
      <c r="I57" t="inlineStr">
        <is>
          <t>Korean Hroparts Elec</t>
        </is>
      </c>
      <c r="J57" t="inlineStr">
        <is>
          <t>SMD</t>
        </is>
      </c>
      <c r="K57" t="inlineStr">
        <is>
          <t>Extended</t>
        </is>
      </c>
      <c r="L57" t="n">
        <v>237028</v>
      </c>
      <c r="M57" t="n">
        <v>1</v>
      </c>
      <c r="N57" t="n">
        <v>2</v>
      </c>
      <c r="O57" t="n">
        <v>0.1791</v>
      </c>
      <c r="P57" t="n">
        <v>0.3582</v>
      </c>
      <c r="Q57" s="2" t="inlineStr">
        <is>
          <t>https://www.lcsc.com/product-detail/C165948.html</t>
        </is>
      </c>
      <c r="R57" t="inlineStr">
        <is>
          <t>-30℃~+80℃ 1 10,000 cycles 16P 20V 5A 7.35mm Female Surface Mount, Right Angle Type-C SMD USB Connectors ROHS</t>
        </is>
      </c>
      <c r="S57" t="inlineStr">
        <is>
          <t>C5337088 TYPE-C-31-M-12A 0.46 USD</t>
        </is>
      </c>
    </row>
    <row r="58">
      <c r="A58" t="inlineStr">
        <is>
          <t>U2</t>
        </is>
      </c>
      <c r="B58" t="n">
        <v>1</v>
      </c>
      <c r="C58" t="n">
        <v>1</v>
      </c>
      <c r="D58" t="inlineStr">
        <is>
          <t>ch340x</t>
        </is>
      </c>
      <c r="E58" t="inlineStr">
        <is>
          <t>ch340x</t>
        </is>
      </c>
      <c r="F58" t="inlineStr">
        <is>
          <t>ch340x</t>
        </is>
      </c>
      <c r="G58" t="inlineStr">
        <is>
          <t>C3035748</t>
        </is>
      </c>
      <c r="H58" t="inlineStr">
        <is>
          <t>CH340X</t>
        </is>
      </c>
      <c r="I58" t="inlineStr">
        <is>
          <t>WCH(Jiangsu Qin Heng)</t>
        </is>
      </c>
      <c r="J58" t="inlineStr">
        <is>
          <t>MSOP-10</t>
        </is>
      </c>
      <c r="K58" t="inlineStr">
        <is>
          <t>Extended</t>
        </is>
      </c>
      <c r="L58" t="n">
        <v>25358</v>
      </c>
      <c r="M58" t="n">
        <v>1</v>
      </c>
      <c r="N58" t="n">
        <v>1</v>
      </c>
      <c r="O58" t="n">
        <v>0.6632</v>
      </c>
      <c r="P58" t="n">
        <v>0.6632</v>
      </c>
      <c r="Q58" s="2" t="inlineStr">
        <is>
          <t>https://www.lcsc.com/product-detail/C3035748.html</t>
        </is>
      </c>
      <c r="R58" t="inlineStr">
        <is>
          <t>-20℃~+70℃ 2Mbps 3.3V、5V USB 2.0 USB to serial、USB to Parallel MSOP-10 USB Converters ROHS</t>
        </is>
      </c>
    </row>
    <row r="59">
      <c r="A59" t="inlineStr">
        <is>
          <t>U13</t>
        </is>
      </c>
      <c r="B59" t="n">
        <v>1</v>
      </c>
      <c r="C59" t="n">
        <v>1</v>
      </c>
      <c r="D59" t="inlineStr">
        <is>
          <t>msm381acb026</t>
        </is>
      </c>
      <c r="E59" t="inlineStr">
        <is>
          <t>mems</t>
        </is>
      </c>
      <c r="F59" t="inlineStr">
        <is>
          <t>msm381acb026</t>
        </is>
      </c>
      <c r="G59" t="inlineStr">
        <is>
          <t>C51928208</t>
        </is>
      </c>
      <c r="H59" t="inlineStr">
        <is>
          <t>MSM381ACB026</t>
        </is>
      </c>
      <c r="I59" t="inlineStr">
        <is>
          <t>MEMS</t>
        </is>
      </c>
      <c r="J59" t="inlineStr">
        <is>
          <t>LGA-3(1.9x2.8)</t>
        </is>
      </c>
      <c r="K59" t="inlineStr">
        <is>
          <t>Extended</t>
        </is>
      </c>
      <c r="L59" t="n">
        <v>6294</v>
      </c>
      <c r="M59" t="n">
        <v>1</v>
      </c>
      <c r="N59" t="n">
        <v>1</v>
      </c>
      <c r="O59" t="n">
        <v>0.3026</v>
      </c>
      <c r="P59" t="n">
        <v>0.3026</v>
      </c>
      <c r="Q59" s="2" t="inlineStr">
        <is>
          <t>https://www.lcsc.com/product-detail/C51928208.html</t>
        </is>
      </c>
      <c r="R59" t="inlineStr">
        <is>
          <t xml:space="preserve">-38dB 0.9mm 1.85mm 170Ω 175uA 2.75mm 3.6V 64dB Analog output Omnidirectional Omnidirectional pickup LGA-3(1.9x2.8) MEMS </t>
        </is>
      </c>
    </row>
    <row r="60">
      <c r="A60" t="inlineStr">
        <is>
          <t>U16</t>
        </is>
      </c>
      <c r="B60" t="n">
        <v>1</v>
      </c>
      <c r="C60" t="n">
        <v>1</v>
      </c>
      <c r="D60" t="inlineStr">
        <is>
          <t>w25n02kvzeir</t>
        </is>
      </c>
      <c r="E60" t="inlineStr">
        <is>
          <t>w25n02</t>
        </is>
      </c>
      <c r="F60" t="inlineStr">
        <is>
          <t>w25n02kvzeir</t>
        </is>
      </c>
      <c r="G60" t="inlineStr">
        <is>
          <t>C3010298</t>
        </is>
      </c>
      <c r="H60" t="inlineStr">
        <is>
          <t>W25N02KVZEIR</t>
        </is>
      </c>
      <c r="I60" t="inlineStr">
        <is>
          <t>Winbond Elec</t>
        </is>
      </c>
      <c r="J60" t="inlineStr">
        <is>
          <t>WSON-8-EP(6x8)</t>
        </is>
      </c>
      <c r="K60" t="inlineStr">
        <is>
          <t>Extended</t>
        </is>
      </c>
      <c r="L60" t="n">
        <v>6279</v>
      </c>
      <c r="M60" t="n">
        <v>1</v>
      </c>
      <c r="N60" t="n">
        <v>1</v>
      </c>
      <c r="O60" t="n">
        <v>11.0628</v>
      </c>
      <c r="P60" t="n">
        <v>11.0628</v>
      </c>
      <c r="Q60" s="2" t="inlineStr">
        <is>
          <t>https://www.lcsc.com/product-detail/C3010298.html</t>
        </is>
      </c>
      <c r="R60" t="inlineStr">
        <is>
          <t>-40℃~+85℃ 10 Years 104MHz 10uA 2.7V~3.6V 2Gbit 2ms 60,000 Cycles 700us SPI WSON-8-EP(6x8) NAND FLASH ROHS</t>
        </is>
      </c>
      <c r="S60" t="inlineStr">
        <is>
          <t>C17626844 W25N02KVZEIR TR 11.16 USD</t>
        </is>
      </c>
    </row>
    <row r="61"/>
    <row r="62">
      <c r="A62" t="inlineStr">
        <is>
          <t>TOTAL</t>
        </is>
      </c>
      <c r="P62">
        <f>SUM(P2:P60)</f>
        <v/>
      </c>
    </row>
  </sheetData>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2" r:id="rId10"/>
    <hyperlink xmlns:r="http://schemas.openxmlformats.org/officeDocument/2006/relationships" ref="Q13" r:id="rId11"/>
    <hyperlink xmlns:r="http://schemas.openxmlformats.org/officeDocument/2006/relationships" ref="Q14" r:id="rId12"/>
    <hyperlink xmlns:r="http://schemas.openxmlformats.org/officeDocument/2006/relationships" ref="Q15" r:id="rId13"/>
    <hyperlink xmlns:r="http://schemas.openxmlformats.org/officeDocument/2006/relationships" ref="Q16" r:id="rId14"/>
    <hyperlink xmlns:r="http://schemas.openxmlformats.org/officeDocument/2006/relationships" ref="Q17" r:id="rId15"/>
    <hyperlink xmlns:r="http://schemas.openxmlformats.org/officeDocument/2006/relationships" ref="Q18" r:id="rId16"/>
    <hyperlink xmlns:r="http://schemas.openxmlformats.org/officeDocument/2006/relationships" ref="Q19" r:id="rId17"/>
    <hyperlink xmlns:r="http://schemas.openxmlformats.org/officeDocument/2006/relationships" ref="Q20" r:id="rId18"/>
    <hyperlink xmlns:r="http://schemas.openxmlformats.org/officeDocument/2006/relationships" ref="Q21" r:id="rId19"/>
    <hyperlink xmlns:r="http://schemas.openxmlformats.org/officeDocument/2006/relationships" ref="Q22" r:id="rId20"/>
    <hyperlink xmlns:r="http://schemas.openxmlformats.org/officeDocument/2006/relationships" ref="Q23" r:id="rId21"/>
    <hyperlink xmlns:r="http://schemas.openxmlformats.org/officeDocument/2006/relationships" ref="Q24" r:id="rId22"/>
    <hyperlink xmlns:r="http://schemas.openxmlformats.org/officeDocument/2006/relationships" ref="Q25" r:id="rId23"/>
    <hyperlink xmlns:r="http://schemas.openxmlformats.org/officeDocument/2006/relationships" ref="Q26" r:id="rId24"/>
    <hyperlink xmlns:r="http://schemas.openxmlformats.org/officeDocument/2006/relationships" ref="Q27" r:id="rId25"/>
    <hyperlink xmlns:r="http://schemas.openxmlformats.org/officeDocument/2006/relationships" ref="Q28" r:id="rId26"/>
    <hyperlink xmlns:r="http://schemas.openxmlformats.org/officeDocument/2006/relationships" ref="Q29" r:id="rId27"/>
    <hyperlink xmlns:r="http://schemas.openxmlformats.org/officeDocument/2006/relationships" ref="Q30" r:id="rId28"/>
    <hyperlink xmlns:r="http://schemas.openxmlformats.org/officeDocument/2006/relationships" ref="Q31" r:id="rId29"/>
    <hyperlink xmlns:r="http://schemas.openxmlformats.org/officeDocument/2006/relationships" ref="Q32" r:id="rId30"/>
    <hyperlink xmlns:r="http://schemas.openxmlformats.org/officeDocument/2006/relationships" ref="Q33" r:id="rId31"/>
    <hyperlink xmlns:r="http://schemas.openxmlformats.org/officeDocument/2006/relationships" ref="Q34" r:id="rId32"/>
    <hyperlink xmlns:r="http://schemas.openxmlformats.org/officeDocument/2006/relationships" ref="Q35" r:id="rId33"/>
    <hyperlink xmlns:r="http://schemas.openxmlformats.org/officeDocument/2006/relationships" ref="Q36" r:id="rId34"/>
    <hyperlink xmlns:r="http://schemas.openxmlformats.org/officeDocument/2006/relationships" ref="Q37" r:id="rId35"/>
    <hyperlink xmlns:r="http://schemas.openxmlformats.org/officeDocument/2006/relationships" ref="Q38" r:id="rId36"/>
    <hyperlink xmlns:r="http://schemas.openxmlformats.org/officeDocument/2006/relationships" ref="Q39" r:id="rId37"/>
    <hyperlink xmlns:r="http://schemas.openxmlformats.org/officeDocument/2006/relationships" ref="Q40" r:id="rId38"/>
    <hyperlink xmlns:r="http://schemas.openxmlformats.org/officeDocument/2006/relationships" ref="Q41" r:id="rId39"/>
    <hyperlink xmlns:r="http://schemas.openxmlformats.org/officeDocument/2006/relationships" ref="Q42" r:id="rId40"/>
    <hyperlink xmlns:r="http://schemas.openxmlformats.org/officeDocument/2006/relationships" ref="Q43" r:id="rId41"/>
    <hyperlink xmlns:r="http://schemas.openxmlformats.org/officeDocument/2006/relationships" ref="Q44" r:id="rId42"/>
    <hyperlink xmlns:r="http://schemas.openxmlformats.org/officeDocument/2006/relationships" ref="Q45" r:id="rId43"/>
    <hyperlink xmlns:r="http://schemas.openxmlformats.org/officeDocument/2006/relationships" ref="Q46" r:id="rId44"/>
    <hyperlink xmlns:r="http://schemas.openxmlformats.org/officeDocument/2006/relationships" ref="Q47" r:id="rId45"/>
    <hyperlink xmlns:r="http://schemas.openxmlformats.org/officeDocument/2006/relationships" ref="Q48" r:id="rId46"/>
    <hyperlink xmlns:r="http://schemas.openxmlformats.org/officeDocument/2006/relationships" ref="Q49" r:id="rId47"/>
    <hyperlink xmlns:r="http://schemas.openxmlformats.org/officeDocument/2006/relationships" ref="Q50" r:id="rId48"/>
    <hyperlink xmlns:r="http://schemas.openxmlformats.org/officeDocument/2006/relationships" ref="Q51" r:id="rId49"/>
    <hyperlink xmlns:r="http://schemas.openxmlformats.org/officeDocument/2006/relationships" ref="Q52" r:id="rId50"/>
    <hyperlink xmlns:r="http://schemas.openxmlformats.org/officeDocument/2006/relationships" ref="Q53" r:id="rId51"/>
    <hyperlink xmlns:r="http://schemas.openxmlformats.org/officeDocument/2006/relationships" ref="Q54" r:id="rId52"/>
    <hyperlink xmlns:r="http://schemas.openxmlformats.org/officeDocument/2006/relationships" ref="Q56" r:id="rId53"/>
    <hyperlink xmlns:r="http://schemas.openxmlformats.org/officeDocument/2006/relationships" ref="Q57" r:id="rId54"/>
    <hyperlink xmlns:r="http://schemas.openxmlformats.org/officeDocument/2006/relationships" ref="Q58" r:id="rId55"/>
    <hyperlink xmlns:r="http://schemas.openxmlformats.org/officeDocument/2006/relationships" ref="Q59" r:id="rId56"/>
    <hyperlink xmlns:r="http://schemas.openxmlformats.org/officeDocument/2006/relationships" ref="Q60" r:id="rId5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2026-09-15T09:04:05Z</dcterms:created>
  <dcterms:modified xsi:type="dcterms:W3CDTF">2026-09-16T03:13:00Z</dcterms:modified>
</cp:coreProperties>
</file>